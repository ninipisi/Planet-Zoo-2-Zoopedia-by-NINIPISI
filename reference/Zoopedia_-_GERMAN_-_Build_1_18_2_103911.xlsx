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el\Desktop\Sonstiges\Planet Zoo\Öffentliche Zoopedia\"/>
    </mc:Choice>
  </mc:AlternateContent>
  <xr:revisionPtr revIDLastSave="0" documentId="13_ncr:1_{843F0694-5DFC-47DE-B6C7-E41D288D779A}" xr6:coauthVersionLast="47" xr6:coauthVersionMax="47" xr10:uidLastSave="{00000000-0000-0000-0000-000000000000}"/>
  <bookViews>
    <workbookView xWindow="5070" yWindow="0" windowWidth="21600" windowHeight="11385" xr2:uid="{FAAAF692-BAE7-4008-A04C-4CAC77AA3602}"/>
  </bookViews>
  <sheets>
    <sheet name="Wikia | Gehege" sheetId="1" r:id="rId1"/>
    <sheet name="Wikia | Vivarien" sheetId="2" r:id="rId2"/>
    <sheet name="Min|Max Anf. + Berechner" sheetId="5" r:id="rId3"/>
    <sheet name="Gefährdungslevel" sheetId="7" r:id="rId4"/>
  </sheets>
  <definedNames>
    <definedName name="_xlnm._FilterDatabase" localSheetId="2" hidden="1">'Min|Max Anf. + Berechner'!$A$4:$X$157</definedName>
    <definedName name="_xlnm._FilterDatabase" localSheetId="0" hidden="1">'Wikia | Gehege'!$A$4:$AM$157</definedName>
    <definedName name="_xlnm._FilterDatabase" localSheetId="1" hidden="1">'Wikia | Vivarien'!$A$4:$AA$46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5" l="1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7" i="5"/>
  <c r="A6" i="5"/>
  <c r="I117" i="5" l="1"/>
  <c r="W117" i="5" s="1"/>
  <c r="I132" i="5"/>
  <c r="W132" i="5" s="1"/>
  <c r="I10" i="5"/>
  <c r="W10" i="5" s="1"/>
  <c r="F12" i="5"/>
  <c r="T12" i="5" s="1"/>
  <c r="F24" i="5"/>
  <c r="T24" i="5" s="1"/>
  <c r="I28" i="5"/>
  <c r="W28" i="5" s="1"/>
  <c r="F55" i="5"/>
  <c r="T55" i="5" s="1"/>
  <c r="I66" i="5"/>
  <c r="W66" i="5" s="1"/>
  <c r="A5" i="5"/>
  <c r="F117" i="5" l="1"/>
  <c r="T117" i="5" s="1"/>
  <c r="G117" i="5"/>
  <c r="U117" i="5" s="1"/>
  <c r="H117" i="5"/>
  <c r="V117" i="5" s="1"/>
  <c r="Q117" i="5"/>
  <c r="J117" i="5"/>
  <c r="M117" i="5"/>
  <c r="N117" i="5"/>
  <c r="O117" i="5"/>
  <c r="P117" i="5"/>
  <c r="F135" i="5"/>
  <c r="T135" i="5" s="1"/>
  <c r="G135" i="5"/>
  <c r="U135" i="5" s="1"/>
  <c r="H135" i="5"/>
  <c r="V135" i="5" s="1"/>
  <c r="I135" i="5"/>
  <c r="W135" i="5" s="1"/>
  <c r="J135" i="5"/>
  <c r="L135" i="5"/>
  <c r="M135" i="5"/>
  <c r="F132" i="5"/>
  <c r="J132" i="5" s="1"/>
  <c r="G132" i="5"/>
  <c r="O132" i="5" s="1"/>
  <c r="H132" i="5"/>
  <c r="L132" i="5" s="1"/>
  <c r="M132" i="5"/>
  <c r="Q132" i="5"/>
  <c r="F10" i="5"/>
  <c r="T10" i="5" s="1"/>
  <c r="G10" i="5"/>
  <c r="U10" i="5" s="1"/>
  <c r="H10" i="5"/>
  <c r="V10" i="5" s="1"/>
  <c r="H12" i="5"/>
  <c r="V12" i="5" s="1"/>
  <c r="G24" i="5"/>
  <c r="U24" i="5" s="1"/>
  <c r="F126" i="5"/>
  <c r="T126" i="5" s="1"/>
  <c r="G126" i="5"/>
  <c r="U126" i="5" s="1"/>
  <c r="H126" i="5"/>
  <c r="V126" i="5" s="1"/>
  <c r="I126" i="5"/>
  <c r="W126" i="5" s="1"/>
  <c r="L126" i="5"/>
  <c r="M126" i="5"/>
  <c r="K126" i="5"/>
  <c r="J126" i="5"/>
  <c r="F94" i="5"/>
  <c r="T94" i="5" s="1"/>
  <c r="G94" i="5"/>
  <c r="U94" i="5" s="1"/>
  <c r="H94" i="5"/>
  <c r="V94" i="5" s="1"/>
  <c r="I94" i="5"/>
  <c r="W94" i="5" s="1"/>
  <c r="J94" i="5"/>
  <c r="K94" i="5"/>
  <c r="L94" i="5"/>
  <c r="M94" i="5"/>
  <c r="F80" i="5"/>
  <c r="J80" i="5" s="1"/>
  <c r="G80" i="5"/>
  <c r="U80" i="5" s="1"/>
  <c r="H80" i="5"/>
  <c r="V80" i="5" s="1"/>
  <c r="I80" i="5"/>
  <c r="W80" i="5" s="1"/>
  <c r="M66" i="5"/>
  <c r="Q66" i="5"/>
  <c r="F66" i="5"/>
  <c r="G66" i="5"/>
  <c r="H66" i="5"/>
  <c r="V66" i="5" s="1"/>
  <c r="I55" i="5"/>
  <c r="W55" i="5" s="1"/>
  <c r="J55" i="5"/>
  <c r="H55" i="5"/>
  <c r="V55" i="5" s="1"/>
  <c r="G55" i="5"/>
  <c r="U55" i="5" s="1"/>
  <c r="N55" i="5"/>
  <c r="F54" i="5"/>
  <c r="T54" i="5" s="1"/>
  <c r="G54" i="5"/>
  <c r="U54" i="5" s="1"/>
  <c r="H54" i="5"/>
  <c r="V54" i="5" s="1"/>
  <c r="I54" i="5"/>
  <c r="W54" i="5" s="1"/>
  <c r="F52" i="5"/>
  <c r="J52" i="5" s="1"/>
  <c r="G52" i="5"/>
  <c r="K52" i="5" s="1"/>
  <c r="H52" i="5"/>
  <c r="L52" i="5" s="1"/>
  <c r="I52" i="5"/>
  <c r="W52" i="5" s="1"/>
  <c r="M28" i="5"/>
  <c r="Q28" i="5"/>
  <c r="F28" i="5"/>
  <c r="T28" i="5" s="1"/>
  <c r="G28" i="5"/>
  <c r="U28" i="5" s="1"/>
  <c r="H28" i="5"/>
  <c r="V28" i="5" s="1"/>
  <c r="H24" i="5"/>
  <c r="V24" i="5" s="1"/>
  <c r="I24" i="5"/>
  <c r="W24" i="5" s="1"/>
  <c r="J24" i="5"/>
  <c r="K24" i="5"/>
  <c r="N24" i="5"/>
  <c r="G12" i="5"/>
  <c r="U12" i="5" s="1"/>
  <c r="I12" i="5"/>
  <c r="W12" i="5" s="1"/>
  <c r="J12" i="5"/>
  <c r="K12" i="5"/>
  <c r="L12" i="5"/>
  <c r="M12" i="5"/>
  <c r="N12" i="5"/>
  <c r="M10" i="5"/>
  <c r="Q10" i="5"/>
  <c r="H5" i="5"/>
  <c r="P5" i="5" s="1"/>
  <c r="F5" i="5"/>
  <c r="J5" i="5" s="1"/>
  <c r="G5" i="5"/>
  <c r="O5" i="5" s="1"/>
  <c r="I5" i="5"/>
  <c r="Q5" i="5" s="1"/>
  <c r="L117" i="5" l="1"/>
  <c r="K117" i="5"/>
  <c r="P135" i="5"/>
  <c r="N135" i="5"/>
  <c r="O135" i="5"/>
  <c r="K135" i="5"/>
  <c r="Q135" i="5"/>
  <c r="V132" i="5"/>
  <c r="K132" i="5"/>
  <c r="O24" i="5"/>
  <c r="U132" i="5"/>
  <c r="T132" i="5"/>
  <c r="P132" i="5"/>
  <c r="N132" i="5"/>
  <c r="N10" i="5"/>
  <c r="P10" i="5"/>
  <c r="O10" i="5"/>
  <c r="J10" i="5"/>
  <c r="K10" i="5"/>
  <c r="L10" i="5"/>
  <c r="P12" i="5"/>
  <c r="N126" i="5"/>
  <c r="O126" i="5"/>
  <c r="P126" i="5"/>
  <c r="P94" i="5"/>
  <c r="O94" i="5"/>
  <c r="N94" i="5"/>
  <c r="Q126" i="5"/>
  <c r="L80" i="5"/>
  <c r="K80" i="5"/>
  <c r="Q94" i="5"/>
  <c r="O80" i="5"/>
  <c r="Q55" i="5"/>
  <c r="M55" i="5"/>
  <c r="T80" i="5"/>
  <c r="N80" i="5"/>
  <c r="Q80" i="5"/>
  <c r="P80" i="5"/>
  <c r="M80" i="5"/>
  <c r="P55" i="5"/>
  <c r="L55" i="5"/>
  <c r="U66" i="5"/>
  <c r="K66" i="5"/>
  <c r="T66" i="5"/>
  <c r="J66" i="5"/>
  <c r="P66" i="5"/>
  <c r="O66" i="5"/>
  <c r="N66" i="5"/>
  <c r="O55" i="5"/>
  <c r="L66" i="5"/>
  <c r="J54" i="5"/>
  <c r="K55" i="5"/>
  <c r="N54" i="5"/>
  <c r="P54" i="5"/>
  <c r="O54" i="5"/>
  <c r="M54" i="5"/>
  <c r="L54" i="5"/>
  <c r="K54" i="5"/>
  <c r="Q54" i="5"/>
  <c r="V52" i="5"/>
  <c r="P52" i="5"/>
  <c r="U52" i="5"/>
  <c r="O52" i="5"/>
  <c r="T52" i="5"/>
  <c r="N52" i="5"/>
  <c r="Q52" i="5"/>
  <c r="M52" i="5"/>
  <c r="J28" i="5"/>
  <c r="O12" i="5"/>
  <c r="Q24" i="5"/>
  <c r="K28" i="5"/>
  <c r="P24" i="5"/>
  <c r="P28" i="5"/>
  <c r="O28" i="5"/>
  <c r="M24" i="5"/>
  <c r="N28" i="5"/>
  <c r="L24" i="5"/>
  <c r="L28" i="5"/>
  <c r="Q12" i="5"/>
  <c r="L5" i="5"/>
  <c r="N5" i="5"/>
  <c r="M5" i="5"/>
  <c r="U5" i="5"/>
  <c r="V5" i="5"/>
  <c r="T5" i="5"/>
  <c r="K5" i="5"/>
  <c r="W5" i="5"/>
  <c r="F6" i="5" l="1"/>
  <c r="F153" i="5" l="1"/>
  <c r="M141" i="5"/>
  <c r="H153" i="5" l="1"/>
  <c r="V153" i="5" s="1"/>
  <c r="G153" i="5"/>
  <c r="U153" i="5" s="1"/>
  <c r="I153" i="5"/>
  <c r="M153" i="5" s="1"/>
  <c r="J153" i="5"/>
  <c r="N153" i="5"/>
  <c r="T153" i="5"/>
  <c r="F154" i="5"/>
  <c r="T154" i="5" s="1"/>
  <c r="G154" i="5"/>
  <c r="U154" i="5" s="1"/>
  <c r="H154" i="5"/>
  <c r="L154" i="5" s="1"/>
  <c r="I154" i="5"/>
  <c r="Q154" i="5" s="1"/>
  <c r="F141" i="5"/>
  <c r="N141" i="5" s="1"/>
  <c r="J141" i="5"/>
  <c r="L141" i="5"/>
  <c r="G141" i="5"/>
  <c r="U141" i="5" s="1"/>
  <c r="H141" i="5"/>
  <c r="V141" i="5" s="1"/>
  <c r="I141" i="5"/>
  <c r="W141" i="5" s="1"/>
  <c r="K141" i="5"/>
  <c r="F134" i="5"/>
  <c r="T134" i="5" s="1"/>
  <c r="G134" i="5"/>
  <c r="U134" i="5" s="1"/>
  <c r="H134" i="5"/>
  <c r="L134" i="5" s="1"/>
  <c r="I134" i="5"/>
  <c r="Q134" i="5" s="1"/>
  <c r="F113" i="5"/>
  <c r="T113" i="5" s="1"/>
  <c r="G113" i="5"/>
  <c r="U113" i="5" s="1"/>
  <c r="H113" i="5"/>
  <c r="L113" i="5" s="1"/>
  <c r="I113" i="5"/>
  <c r="W113" i="5" s="1"/>
  <c r="F75" i="5"/>
  <c r="N75" i="5" s="1"/>
  <c r="G75" i="5"/>
  <c r="O75" i="5" s="1"/>
  <c r="H75" i="5"/>
  <c r="P75" i="5" s="1"/>
  <c r="I75" i="5"/>
  <c r="W75" i="5" s="1"/>
  <c r="J75" i="5"/>
  <c r="L75" i="5"/>
  <c r="M75" i="5"/>
  <c r="F56" i="5"/>
  <c r="T56" i="5" s="1"/>
  <c r="G56" i="5"/>
  <c r="O56" i="5" s="1"/>
  <c r="H56" i="5"/>
  <c r="L56" i="5" s="1"/>
  <c r="I56" i="5"/>
  <c r="Q56" i="5" s="1"/>
  <c r="F51" i="5"/>
  <c r="J51" i="5" s="1"/>
  <c r="G51" i="5"/>
  <c r="K51" i="5" s="1"/>
  <c r="H51" i="5"/>
  <c r="L51" i="5" s="1"/>
  <c r="I51" i="5"/>
  <c r="M51" i="5" s="1"/>
  <c r="F128" i="5"/>
  <c r="J128" i="5" s="1"/>
  <c r="I128" i="5"/>
  <c r="M128" i="5" s="1"/>
  <c r="H128" i="5"/>
  <c r="L128" i="5" s="1"/>
  <c r="G128" i="5"/>
  <c r="K128" i="5" s="1"/>
  <c r="F109" i="5"/>
  <c r="J109" i="5" s="1"/>
  <c r="I109" i="5"/>
  <c r="M109" i="5" s="1"/>
  <c r="H109" i="5"/>
  <c r="L109" i="5" s="1"/>
  <c r="G109" i="5"/>
  <c r="K109" i="5" s="1"/>
  <c r="J92" i="5"/>
  <c r="I92" i="5"/>
  <c r="H92" i="5"/>
  <c r="M92" i="5"/>
  <c r="K92" i="5"/>
  <c r="F92" i="5"/>
  <c r="L92" i="5"/>
  <c r="G92" i="5"/>
  <c r="L76" i="5"/>
  <c r="I76" i="5"/>
  <c r="K76" i="5"/>
  <c r="J76" i="5"/>
  <c r="H76" i="5"/>
  <c r="M76" i="5"/>
  <c r="F76" i="5"/>
  <c r="G76" i="5"/>
  <c r="I58" i="5"/>
  <c r="J58" i="5"/>
  <c r="M58" i="5"/>
  <c r="H58" i="5"/>
  <c r="L58" i="5" s="1"/>
  <c r="G58" i="5"/>
  <c r="K58" i="5" s="1"/>
  <c r="F58" i="5"/>
  <c r="F37" i="5"/>
  <c r="J37" i="5"/>
  <c r="I37" i="5"/>
  <c r="K37" i="5"/>
  <c r="H37" i="5"/>
  <c r="M37" i="5"/>
  <c r="L37" i="5"/>
  <c r="G37" i="5"/>
  <c r="L21" i="5"/>
  <c r="I21" i="5"/>
  <c r="W21" i="5" s="1"/>
  <c r="K21" i="5"/>
  <c r="H21" i="5"/>
  <c r="V21" i="5" s="1"/>
  <c r="F21" i="5"/>
  <c r="N21" i="5" s="1"/>
  <c r="J21" i="5"/>
  <c r="G21" i="5"/>
  <c r="O21" i="5" s="1"/>
  <c r="M111" i="5"/>
  <c r="F111" i="5"/>
  <c r="G111" i="5"/>
  <c r="L111" i="5"/>
  <c r="I111" i="5"/>
  <c r="K111" i="5"/>
  <c r="J111" i="5"/>
  <c r="H111" i="5"/>
  <c r="I147" i="5"/>
  <c r="M147" i="5" s="1"/>
  <c r="H147" i="5"/>
  <c r="L147" i="5" s="1"/>
  <c r="F147" i="5"/>
  <c r="J147" i="5" s="1"/>
  <c r="G147" i="5"/>
  <c r="K147" i="5" s="1"/>
  <c r="I91" i="5"/>
  <c r="H91" i="5"/>
  <c r="M91" i="5"/>
  <c r="L91" i="5"/>
  <c r="G91" i="5"/>
  <c r="K91" i="5" s="1"/>
  <c r="F91" i="5"/>
  <c r="J91" i="5" s="1"/>
  <c r="I74" i="5"/>
  <c r="M74" i="5" s="1"/>
  <c r="K74" i="5"/>
  <c r="F74" i="5"/>
  <c r="J74" i="5" s="1"/>
  <c r="H74" i="5"/>
  <c r="L74" i="5" s="1"/>
  <c r="G74" i="5"/>
  <c r="I57" i="5"/>
  <c r="M57" i="5" s="1"/>
  <c r="H57" i="5"/>
  <c r="L57" i="5" s="1"/>
  <c r="G57" i="5"/>
  <c r="K57" i="5" s="1"/>
  <c r="F57" i="5"/>
  <c r="J57" i="5" s="1"/>
  <c r="J36" i="5"/>
  <c r="I36" i="5"/>
  <c r="H36" i="5"/>
  <c r="M36" i="5"/>
  <c r="L36" i="5"/>
  <c r="G36" i="5"/>
  <c r="F36" i="5"/>
  <c r="K36" i="5"/>
  <c r="F20" i="5"/>
  <c r="J20" i="5" s="1"/>
  <c r="I20" i="5"/>
  <c r="M20" i="5" s="1"/>
  <c r="H20" i="5"/>
  <c r="L20" i="5" s="1"/>
  <c r="G20" i="5"/>
  <c r="K20" i="5" s="1"/>
  <c r="F151" i="5"/>
  <c r="J151" i="5" s="1"/>
  <c r="I151" i="5"/>
  <c r="M151" i="5" s="1"/>
  <c r="G151" i="5"/>
  <c r="K151" i="5" s="1"/>
  <c r="H151" i="5"/>
  <c r="L151" i="5" s="1"/>
  <c r="F130" i="5"/>
  <c r="J130" i="5"/>
  <c r="I130" i="5"/>
  <c r="M130" i="5"/>
  <c r="H130" i="5"/>
  <c r="G130" i="5"/>
  <c r="K130" i="5"/>
  <c r="L130" i="5"/>
  <c r="I129" i="5"/>
  <c r="M129" i="5" s="1"/>
  <c r="H129" i="5"/>
  <c r="L129" i="5" s="1"/>
  <c r="F129" i="5"/>
  <c r="J129" i="5" s="1"/>
  <c r="G129" i="5"/>
  <c r="K129" i="5" s="1"/>
  <c r="J125" i="5"/>
  <c r="I125" i="5"/>
  <c r="H125" i="5"/>
  <c r="M125" i="5"/>
  <c r="G125" i="5"/>
  <c r="L125" i="5"/>
  <c r="K125" i="5"/>
  <c r="F125" i="5"/>
  <c r="I107" i="5"/>
  <c r="M107" i="5" s="1"/>
  <c r="H107" i="5"/>
  <c r="L107" i="5" s="1"/>
  <c r="G107" i="5"/>
  <c r="K107" i="5" s="1"/>
  <c r="F107" i="5"/>
  <c r="J107" i="5" s="1"/>
  <c r="I90" i="5"/>
  <c r="J90" i="5"/>
  <c r="H90" i="5"/>
  <c r="M90" i="5"/>
  <c r="L90" i="5"/>
  <c r="G90" i="5"/>
  <c r="K90" i="5"/>
  <c r="F90" i="5"/>
  <c r="I73" i="5"/>
  <c r="M73" i="5" s="1"/>
  <c r="F73" i="5"/>
  <c r="J73" i="5" s="1"/>
  <c r="H73" i="5"/>
  <c r="L73" i="5" s="1"/>
  <c r="G73" i="5"/>
  <c r="K73" i="5" s="1"/>
  <c r="I53" i="5"/>
  <c r="M53" i="5"/>
  <c r="J53" i="5"/>
  <c r="H53" i="5"/>
  <c r="L53" i="5" s="1"/>
  <c r="G53" i="5"/>
  <c r="K53" i="5" s="1"/>
  <c r="F53" i="5"/>
  <c r="I35" i="5"/>
  <c r="H35" i="5"/>
  <c r="M35" i="5"/>
  <c r="F35" i="5"/>
  <c r="L35" i="5"/>
  <c r="G35" i="5"/>
  <c r="J35" i="5"/>
  <c r="K35" i="5"/>
  <c r="F19" i="5"/>
  <c r="N19" i="5" s="1"/>
  <c r="I19" i="5"/>
  <c r="W19" i="5" s="1"/>
  <c r="L19" i="5"/>
  <c r="H19" i="5"/>
  <c r="P19" i="5" s="1"/>
  <c r="J19" i="5"/>
  <c r="G19" i="5"/>
  <c r="O19" i="5" s="1"/>
  <c r="G23" i="5"/>
  <c r="F23" i="5"/>
  <c r="N23" i="5" s="1"/>
  <c r="M23" i="5"/>
  <c r="L23" i="5"/>
  <c r="I23" i="5"/>
  <c r="W23" i="5" s="1"/>
  <c r="K23" i="5"/>
  <c r="H23" i="5"/>
  <c r="V23" i="5" s="1"/>
  <c r="J23" i="5"/>
  <c r="L77" i="5"/>
  <c r="M77" i="5"/>
  <c r="I77" i="5"/>
  <c r="K77" i="5"/>
  <c r="J77" i="5"/>
  <c r="H77" i="5"/>
  <c r="F77" i="5"/>
  <c r="G77" i="5"/>
  <c r="I145" i="5"/>
  <c r="M145" i="5" s="1"/>
  <c r="H145" i="5"/>
  <c r="L145" i="5" s="1"/>
  <c r="G145" i="5"/>
  <c r="K145" i="5" s="1"/>
  <c r="F145" i="5"/>
  <c r="J145" i="5" s="1"/>
  <c r="I124" i="5"/>
  <c r="M124" i="5" s="1"/>
  <c r="H124" i="5"/>
  <c r="L124" i="5" s="1"/>
  <c r="G124" i="5"/>
  <c r="K124" i="5" s="1"/>
  <c r="F124" i="5"/>
  <c r="J124" i="5" s="1"/>
  <c r="I106" i="5"/>
  <c r="M106" i="5" s="1"/>
  <c r="H106" i="5"/>
  <c r="L106" i="5" s="1"/>
  <c r="G106" i="5"/>
  <c r="K106" i="5" s="1"/>
  <c r="F106" i="5"/>
  <c r="J106" i="5" s="1"/>
  <c r="I89" i="5"/>
  <c r="H89" i="5"/>
  <c r="M89" i="5"/>
  <c r="J89" i="5"/>
  <c r="L89" i="5"/>
  <c r="G89" i="5"/>
  <c r="K89" i="5"/>
  <c r="F89" i="5"/>
  <c r="I72" i="5"/>
  <c r="L72" i="5"/>
  <c r="H72" i="5"/>
  <c r="G72" i="5"/>
  <c r="K72" i="5" s="1"/>
  <c r="M72" i="5"/>
  <c r="F72" i="5"/>
  <c r="J72" i="5" s="1"/>
  <c r="I50" i="5"/>
  <c r="M50" i="5"/>
  <c r="H50" i="5"/>
  <c r="L50" i="5"/>
  <c r="G50" i="5"/>
  <c r="K50" i="5" s="1"/>
  <c r="J50" i="5"/>
  <c r="F50" i="5"/>
  <c r="I34" i="5"/>
  <c r="J34" i="5"/>
  <c r="H34" i="5"/>
  <c r="M34" i="5"/>
  <c r="L34" i="5"/>
  <c r="G34" i="5"/>
  <c r="K34" i="5"/>
  <c r="F34" i="5"/>
  <c r="I18" i="5"/>
  <c r="M18" i="5" s="1"/>
  <c r="H18" i="5"/>
  <c r="L18" i="5" s="1"/>
  <c r="G18" i="5"/>
  <c r="K18" i="5" s="1"/>
  <c r="F18" i="5"/>
  <c r="J18" i="5" s="1"/>
  <c r="K95" i="5"/>
  <c r="F95" i="5"/>
  <c r="J95" i="5"/>
  <c r="I95" i="5"/>
  <c r="H95" i="5"/>
  <c r="L95" i="5" s="1"/>
  <c r="M95" i="5"/>
  <c r="G95" i="5"/>
  <c r="F110" i="5"/>
  <c r="J110" i="5" s="1"/>
  <c r="I110" i="5"/>
  <c r="M110" i="5" s="1"/>
  <c r="H110" i="5"/>
  <c r="L110" i="5" s="1"/>
  <c r="G110" i="5"/>
  <c r="K110" i="5" s="1"/>
  <c r="L108" i="5"/>
  <c r="I108" i="5"/>
  <c r="M108" i="5" s="1"/>
  <c r="F108" i="5"/>
  <c r="K108" i="5"/>
  <c r="H108" i="5"/>
  <c r="J108" i="5"/>
  <c r="G108" i="5"/>
  <c r="I144" i="5"/>
  <c r="M144" i="5" s="1"/>
  <c r="H144" i="5"/>
  <c r="L144" i="5" s="1"/>
  <c r="G144" i="5"/>
  <c r="K144" i="5" s="1"/>
  <c r="F144" i="5"/>
  <c r="J144" i="5" s="1"/>
  <c r="H123" i="5"/>
  <c r="I123" i="5"/>
  <c r="M123" i="5"/>
  <c r="G123" i="5"/>
  <c r="L123" i="5"/>
  <c r="F123" i="5"/>
  <c r="J123" i="5"/>
  <c r="K123" i="5"/>
  <c r="H105" i="5"/>
  <c r="L105" i="5" s="1"/>
  <c r="G105" i="5"/>
  <c r="K105" i="5" s="1"/>
  <c r="F105" i="5"/>
  <c r="J105" i="5" s="1"/>
  <c r="I105" i="5"/>
  <c r="M105" i="5" s="1"/>
  <c r="K71" i="5"/>
  <c r="H71" i="5"/>
  <c r="I71" i="5"/>
  <c r="J71" i="5"/>
  <c r="G71" i="5"/>
  <c r="L71" i="5"/>
  <c r="M71" i="5"/>
  <c r="F71" i="5"/>
  <c r="M49" i="5"/>
  <c r="H49" i="5"/>
  <c r="L49" i="5"/>
  <c r="G49" i="5"/>
  <c r="I49" i="5"/>
  <c r="K49" i="5"/>
  <c r="J49" i="5"/>
  <c r="F49" i="5"/>
  <c r="H33" i="5"/>
  <c r="L33" i="5" s="1"/>
  <c r="G33" i="5"/>
  <c r="K33" i="5" s="1"/>
  <c r="F33" i="5"/>
  <c r="J33" i="5" s="1"/>
  <c r="I33" i="5"/>
  <c r="M33" i="5" s="1"/>
  <c r="I17" i="5"/>
  <c r="M17" i="5" s="1"/>
  <c r="H17" i="5"/>
  <c r="L17" i="5" s="1"/>
  <c r="G17" i="5"/>
  <c r="K17" i="5" s="1"/>
  <c r="F17" i="5"/>
  <c r="J17" i="5" s="1"/>
  <c r="K40" i="5"/>
  <c r="F40" i="5"/>
  <c r="J40" i="5"/>
  <c r="G40" i="5"/>
  <c r="I40" i="5"/>
  <c r="M40" i="5"/>
  <c r="H40" i="5"/>
  <c r="L40" i="5"/>
  <c r="F59" i="5"/>
  <c r="I59" i="5"/>
  <c r="M59" i="5"/>
  <c r="H59" i="5"/>
  <c r="L59" i="5"/>
  <c r="J59" i="5"/>
  <c r="K59" i="5"/>
  <c r="G59" i="5"/>
  <c r="I122" i="5"/>
  <c r="H122" i="5"/>
  <c r="M122" i="5"/>
  <c r="G122" i="5"/>
  <c r="K122" i="5" s="1"/>
  <c r="L122" i="5"/>
  <c r="F122" i="5"/>
  <c r="J122" i="5"/>
  <c r="H104" i="5"/>
  <c r="L104" i="5" s="1"/>
  <c r="I104" i="5"/>
  <c r="M104" i="5" s="1"/>
  <c r="G104" i="5"/>
  <c r="K104" i="5" s="1"/>
  <c r="F104" i="5"/>
  <c r="J104" i="5" s="1"/>
  <c r="H88" i="5"/>
  <c r="M88" i="5"/>
  <c r="I88" i="5"/>
  <c r="G88" i="5"/>
  <c r="L88" i="5"/>
  <c r="F88" i="5"/>
  <c r="J88" i="5"/>
  <c r="K88" i="5"/>
  <c r="H70" i="5"/>
  <c r="L70" i="5" s="1"/>
  <c r="G70" i="5"/>
  <c r="K70" i="5" s="1"/>
  <c r="I70" i="5"/>
  <c r="M70" i="5" s="1"/>
  <c r="F70" i="5"/>
  <c r="J70" i="5" s="1"/>
  <c r="M48" i="5"/>
  <c r="H48" i="5"/>
  <c r="L48" i="5"/>
  <c r="G48" i="5"/>
  <c r="K48" i="5"/>
  <c r="J48" i="5"/>
  <c r="F48" i="5"/>
  <c r="I48" i="5"/>
  <c r="H32" i="5"/>
  <c r="L32" i="5" s="1"/>
  <c r="I32" i="5"/>
  <c r="M32" i="5" s="1"/>
  <c r="G32" i="5"/>
  <c r="K32" i="5" s="1"/>
  <c r="F32" i="5"/>
  <c r="J32" i="5" s="1"/>
  <c r="I16" i="5"/>
  <c r="W16" i="5" s="1"/>
  <c r="H16" i="5"/>
  <c r="P16" i="5" s="1"/>
  <c r="G16" i="5"/>
  <c r="U16" i="5" s="1"/>
  <c r="J16" i="5"/>
  <c r="M16" i="5"/>
  <c r="F16" i="5"/>
  <c r="N16" i="5" s="1"/>
  <c r="F131" i="5"/>
  <c r="J131" i="5"/>
  <c r="K131" i="5"/>
  <c r="I131" i="5"/>
  <c r="M131" i="5" s="1"/>
  <c r="H131" i="5"/>
  <c r="L131" i="5"/>
  <c r="G131" i="5"/>
  <c r="F22" i="5"/>
  <c r="T22" i="5" s="1"/>
  <c r="M22" i="5"/>
  <c r="L22" i="5"/>
  <c r="I22" i="5"/>
  <c r="W22" i="5" s="1"/>
  <c r="K22" i="5"/>
  <c r="H22" i="5"/>
  <c r="P22" i="5" s="1"/>
  <c r="J22" i="5"/>
  <c r="G22" i="5"/>
  <c r="U22" i="5" s="1"/>
  <c r="H143" i="5"/>
  <c r="L143" i="5" s="1"/>
  <c r="G143" i="5"/>
  <c r="K143" i="5" s="1"/>
  <c r="F143" i="5"/>
  <c r="J143" i="5" s="1"/>
  <c r="I143" i="5"/>
  <c r="M143" i="5" s="1"/>
  <c r="H142" i="5"/>
  <c r="K142" i="5"/>
  <c r="I142" i="5"/>
  <c r="J142" i="5"/>
  <c r="G142" i="5"/>
  <c r="F142" i="5"/>
  <c r="L142" i="5"/>
  <c r="M142" i="5"/>
  <c r="H121" i="5"/>
  <c r="J121" i="5"/>
  <c r="M121" i="5"/>
  <c r="G121" i="5"/>
  <c r="L121" i="5"/>
  <c r="F121" i="5"/>
  <c r="K121" i="5"/>
  <c r="I121" i="5"/>
  <c r="H103" i="5"/>
  <c r="L103" i="5" s="1"/>
  <c r="I103" i="5"/>
  <c r="M103" i="5" s="1"/>
  <c r="G103" i="5"/>
  <c r="K103" i="5" s="1"/>
  <c r="F103" i="5"/>
  <c r="J103" i="5" s="1"/>
  <c r="H87" i="5"/>
  <c r="L87" i="5" s="1"/>
  <c r="G87" i="5"/>
  <c r="K87" i="5" s="1"/>
  <c r="I87" i="5"/>
  <c r="M87" i="5" s="1"/>
  <c r="F87" i="5"/>
  <c r="J87" i="5" s="1"/>
  <c r="K69" i="5"/>
  <c r="I69" i="5"/>
  <c r="H69" i="5"/>
  <c r="L69" i="5"/>
  <c r="J69" i="5"/>
  <c r="G69" i="5"/>
  <c r="F69" i="5"/>
  <c r="M69" i="5"/>
  <c r="H47" i="5"/>
  <c r="L47" i="5"/>
  <c r="G47" i="5"/>
  <c r="K47" i="5"/>
  <c r="F47" i="5"/>
  <c r="J47" i="5" s="1"/>
  <c r="I47" i="5"/>
  <c r="M47" i="5" s="1"/>
  <c r="H31" i="5"/>
  <c r="L31" i="5" s="1"/>
  <c r="G31" i="5"/>
  <c r="K31" i="5" s="1"/>
  <c r="I31" i="5"/>
  <c r="M31" i="5" s="1"/>
  <c r="F31" i="5"/>
  <c r="J31" i="5" s="1"/>
  <c r="L15" i="5"/>
  <c r="H15" i="5"/>
  <c r="V15" i="5" s="1"/>
  <c r="K15" i="5"/>
  <c r="G15" i="5"/>
  <c r="O15" i="5" s="1"/>
  <c r="J15" i="5"/>
  <c r="F15" i="5"/>
  <c r="T15" i="5" s="1"/>
  <c r="M15" i="5"/>
  <c r="I15" i="5"/>
  <c r="Q15" i="5" s="1"/>
  <c r="F61" i="5"/>
  <c r="J61" i="5" s="1"/>
  <c r="G61" i="5"/>
  <c r="K61" i="5" s="1"/>
  <c r="I61" i="5"/>
  <c r="M61" i="5" s="1"/>
  <c r="H61" i="5"/>
  <c r="L61" i="5" s="1"/>
  <c r="F38" i="5"/>
  <c r="J38" i="5" s="1"/>
  <c r="I38" i="5"/>
  <c r="M38" i="5" s="1"/>
  <c r="H38" i="5"/>
  <c r="L38" i="5" s="1"/>
  <c r="G38" i="5"/>
  <c r="K38" i="5" s="1"/>
  <c r="I146" i="5"/>
  <c r="M146" i="5" s="1"/>
  <c r="H146" i="5"/>
  <c r="L146" i="5" s="1"/>
  <c r="G146" i="5"/>
  <c r="K146" i="5" s="1"/>
  <c r="F146" i="5"/>
  <c r="J146" i="5" s="1"/>
  <c r="H140" i="5"/>
  <c r="L140" i="5" s="1"/>
  <c r="G140" i="5"/>
  <c r="K140" i="5" s="1"/>
  <c r="F140" i="5"/>
  <c r="J140" i="5" s="1"/>
  <c r="I140" i="5"/>
  <c r="M140" i="5" s="1"/>
  <c r="H120" i="5"/>
  <c r="L120" i="5" s="1"/>
  <c r="G120" i="5"/>
  <c r="K120" i="5" s="1"/>
  <c r="F120" i="5"/>
  <c r="J120" i="5" s="1"/>
  <c r="I120" i="5"/>
  <c r="M120" i="5" s="1"/>
  <c r="H102" i="5"/>
  <c r="L102" i="5"/>
  <c r="M102" i="5"/>
  <c r="K102" i="5"/>
  <c r="G102" i="5"/>
  <c r="F102" i="5"/>
  <c r="J102" i="5" s="1"/>
  <c r="I102" i="5"/>
  <c r="H86" i="5"/>
  <c r="M86" i="5"/>
  <c r="G86" i="5"/>
  <c r="L86" i="5"/>
  <c r="F86" i="5"/>
  <c r="K86" i="5"/>
  <c r="J86" i="5"/>
  <c r="I86" i="5"/>
  <c r="H68" i="5"/>
  <c r="J68" i="5"/>
  <c r="G68" i="5"/>
  <c r="F68" i="5"/>
  <c r="M68" i="5"/>
  <c r="L68" i="5"/>
  <c r="I68" i="5"/>
  <c r="K68" i="5"/>
  <c r="H46" i="5"/>
  <c r="L46" i="5"/>
  <c r="G46" i="5"/>
  <c r="K46" i="5" s="1"/>
  <c r="J46" i="5"/>
  <c r="F46" i="5"/>
  <c r="M46" i="5"/>
  <c r="I46" i="5"/>
  <c r="H30" i="5"/>
  <c r="L30" i="5" s="1"/>
  <c r="G30" i="5"/>
  <c r="K30" i="5" s="1"/>
  <c r="F30" i="5"/>
  <c r="J30" i="5" s="1"/>
  <c r="I30" i="5"/>
  <c r="M30" i="5" s="1"/>
  <c r="H14" i="5"/>
  <c r="L14" i="5" s="1"/>
  <c r="G14" i="5"/>
  <c r="K14" i="5" s="1"/>
  <c r="F14" i="5"/>
  <c r="J14" i="5" s="1"/>
  <c r="I14" i="5"/>
  <c r="M14" i="5" s="1"/>
  <c r="F112" i="5"/>
  <c r="J112" i="5" s="1"/>
  <c r="I112" i="5"/>
  <c r="M112" i="5" s="1"/>
  <c r="G112" i="5"/>
  <c r="K112" i="5" s="1"/>
  <c r="H112" i="5"/>
  <c r="L112" i="5" s="1"/>
  <c r="F78" i="5"/>
  <c r="J78" i="5" s="1"/>
  <c r="I78" i="5"/>
  <c r="M78" i="5" s="1"/>
  <c r="H78" i="5"/>
  <c r="L78" i="5" s="1"/>
  <c r="G78" i="5"/>
  <c r="K78" i="5" s="1"/>
  <c r="G139" i="5"/>
  <c r="K139" i="5" s="1"/>
  <c r="F139" i="5"/>
  <c r="J139" i="5" s="1"/>
  <c r="I139" i="5"/>
  <c r="M139" i="5" s="1"/>
  <c r="H139" i="5"/>
  <c r="L139" i="5" s="1"/>
  <c r="G119" i="5"/>
  <c r="K119" i="5" s="1"/>
  <c r="H119" i="5"/>
  <c r="L119" i="5" s="1"/>
  <c r="F119" i="5"/>
  <c r="J119" i="5" s="1"/>
  <c r="I119" i="5"/>
  <c r="M119" i="5" s="1"/>
  <c r="G101" i="5"/>
  <c r="K101" i="5" s="1"/>
  <c r="F101" i="5"/>
  <c r="J101" i="5" s="1"/>
  <c r="H101" i="5"/>
  <c r="L101" i="5" s="1"/>
  <c r="I101" i="5"/>
  <c r="M101" i="5" s="1"/>
  <c r="G85" i="5"/>
  <c r="K85" i="5" s="1"/>
  <c r="F85" i="5"/>
  <c r="J85" i="5" s="1"/>
  <c r="H85" i="5"/>
  <c r="L85" i="5" s="1"/>
  <c r="I85" i="5"/>
  <c r="M85" i="5" s="1"/>
  <c r="J67" i="5"/>
  <c r="G67" i="5"/>
  <c r="K67" i="5"/>
  <c r="H67" i="5"/>
  <c r="F67" i="5"/>
  <c r="M67" i="5"/>
  <c r="L67" i="5"/>
  <c r="I67" i="5"/>
  <c r="L45" i="5"/>
  <c r="G45" i="5"/>
  <c r="K45" i="5"/>
  <c r="F45" i="5"/>
  <c r="J45" i="5" s="1"/>
  <c r="M45" i="5"/>
  <c r="I45" i="5"/>
  <c r="H45" i="5"/>
  <c r="H29" i="5"/>
  <c r="L29" i="5" s="1"/>
  <c r="G29" i="5"/>
  <c r="K29" i="5" s="1"/>
  <c r="F29" i="5"/>
  <c r="J29" i="5" s="1"/>
  <c r="I29" i="5"/>
  <c r="M29" i="5" s="1"/>
  <c r="G13" i="5"/>
  <c r="K13" i="5" s="1"/>
  <c r="F13" i="5"/>
  <c r="J13" i="5" s="1"/>
  <c r="H13" i="5"/>
  <c r="L13" i="5" s="1"/>
  <c r="I13" i="5"/>
  <c r="M13" i="5" s="1"/>
  <c r="F150" i="5"/>
  <c r="J150" i="5" s="1"/>
  <c r="G150" i="5"/>
  <c r="K150" i="5" s="1"/>
  <c r="I150" i="5"/>
  <c r="M150" i="5" s="1"/>
  <c r="H150" i="5"/>
  <c r="L150" i="5" s="1"/>
  <c r="J93" i="5"/>
  <c r="I93" i="5"/>
  <c r="M93" i="5" s="1"/>
  <c r="H93" i="5"/>
  <c r="L93" i="5"/>
  <c r="G93" i="5"/>
  <c r="K93" i="5" s="1"/>
  <c r="F93" i="5"/>
  <c r="G157" i="5"/>
  <c r="K157" i="5" s="1"/>
  <c r="F157" i="5"/>
  <c r="J157" i="5" s="1"/>
  <c r="H157" i="5"/>
  <c r="L157" i="5" s="1"/>
  <c r="I157" i="5"/>
  <c r="M157" i="5" s="1"/>
  <c r="G138" i="5"/>
  <c r="K138" i="5" s="1"/>
  <c r="F138" i="5"/>
  <c r="J138" i="5" s="1"/>
  <c r="I138" i="5"/>
  <c r="M138" i="5" s="1"/>
  <c r="H138" i="5"/>
  <c r="L138" i="5" s="1"/>
  <c r="G118" i="5"/>
  <c r="K118" i="5" s="1"/>
  <c r="F118" i="5"/>
  <c r="J118" i="5" s="1"/>
  <c r="H118" i="5"/>
  <c r="L118" i="5" s="1"/>
  <c r="I118" i="5"/>
  <c r="M118" i="5" s="1"/>
  <c r="G100" i="5"/>
  <c r="K100" i="5" s="1"/>
  <c r="H100" i="5"/>
  <c r="L100" i="5" s="1"/>
  <c r="J100" i="5"/>
  <c r="F100" i="5"/>
  <c r="I100" i="5"/>
  <c r="M100" i="5" s="1"/>
  <c r="M84" i="5"/>
  <c r="G84" i="5"/>
  <c r="L84" i="5"/>
  <c r="F84" i="5"/>
  <c r="K84" i="5"/>
  <c r="I84" i="5"/>
  <c r="J84" i="5"/>
  <c r="H84" i="5"/>
  <c r="G65" i="5"/>
  <c r="K65" i="5" s="1"/>
  <c r="F65" i="5"/>
  <c r="J65" i="5" s="1"/>
  <c r="I65" i="5"/>
  <c r="M65" i="5" s="1"/>
  <c r="H65" i="5"/>
  <c r="L65" i="5" s="1"/>
  <c r="M44" i="5"/>
  <c r="G44" i="5"/>
  <c r="K44" i="5" s="1"/>
  <c r="H44" i="5"/>
  <c r="L44" i="5" s="1"/>
  <c r="F44" i="5"/>
  <c r="J44" i="5" s="1"/>
  <c r="I44" i="5"/>
  <c r="G27" i="5"/>
  <c r="U27" i="5" s="1"/>
  <c r="F27" i="5"/>
  <c r="T27" i="5" s="1"/>
  <c r="H27" i="5"/>
  <c r="V27" i="5" s="1"/>
  <c r="K27" i="5"/>
  <c r="I27" i="5"/>
  <c r="W27" i="5" s="1"/>
  <c r="G11" i="5"/>
  <c r="K11" i="5" s="1"/>
  <c r="F11" i="5"/>
  <c r="J11" i="5" s="1"/>
  <c r="H11" i="5"/>
  <c r="L11" i="5" s="1"/>
  <c r="I11" i="5"/>
  <c r="M11" i="5" s="1"/>
  <c r="F39" i="5"/>
  <c r="J39" i="5"/>
  <c r="K39" i="5"/>
  <c r="I39" i="5"/>
  <c r="G39" i="5"/>
  <c r="M39" i="5"/>
  <c r="H39" i="5"/>
  <c r="L39" i="5"/>
  <c r="I127" i="5"/>
  <c r="M127" i="5" s="1"/>
  <c r="F127" i="5"/>
  <c r="J127" i="5" s="1"/>
  <c r="H127" i="5"/>
  <c r="L127" i="5" s="1"/>
  <c r="G127" i="5"/>
  <c r="K127" i="5" s="1"/>
  <c r="G156" i="5"/>
  <c r="K156" i="5" s="1"/>
  <c r="F156" i="5"/>
  <c r="J156" i="5" s="1"/>
  <c r="H156" i="5"/>
  <c r="L156" i="5" s="1"/>
  <c r="I156" i="5"/>
  <c r="M156" i="5" s="1"/>
  <c r="H137" i="5"/>
  <c r="L137" i="5" s="1"/>
  <c r="G137" i="5"/>
  <c r="K137" i="5" s="1"/>
  <c r="F137" i="5"/>
  <c r="J137" i="5" s="1"/>
  <c r="I137" i="5"/>
  <c r="M137" i="5" s="1"/>
  <c r="G116" i="5"/>
  <c r="K116" i="5" s="1"/>
  <c r="F116" i="5"/>
  <c r="J116" i="5" s="1"/>
  <c r="I116" i="5"/>
  <c r="M116" i="5" s="1"/>
  <c r="H116" i="5"/>
  <c r="L116" i="5" s="1"/>
  <c r="G99" i="5"/>
  <c r="K99" i="5" s="1"/>
  <c r="F99" i="5"/>
  <c r="J99" i="5" s="1"/>
  <c r="I99" i="5"/>
  <c r="M99" i="5" s="1"/>
  <c r="H99" i="5"/>
  <c r="L99" i="5" s="1"/>
  <c r="M83" i="5"/>
  <c r="G83" i="5"/>
  <c r="H83" i="5"/>
  <c r="L83" i="5"/>
  <c r="F83" i="5"/>
  <c r="K83" i="5"/>
  <c r="I83" i="5"/>
  <c r="J83" i="5"/>
  <c r="G64" i="5"/>
  <c r="K64" i="5" s="1"/>
  <c r="H64" i="5"/>
  <c r="L64" i="5" s="1"/>
  <c r="F64" i="5"/>
  <c r="J64" i="5" s="1"/>
  <c r="I64" i="5"/>
  <c r="M64" i="5" s="1"/>
  <c r="G43" i="5"/>
  <c r="K43" i="5"/>
  <c r="L43" i="5"/>
  <c r="J43" i="5"/>
  <c r="F43" i="5"/>
  <c r="I43" i="5"/>
  <c r="H43" i="5"/>
  <c r="M43" i="5"/>
  <c r="G26" i="5"/>
  <c r="K26" i="5" s="1"/>
  <c r="F26" i="5"/>
  <c r="J26" i="5" s="1"/>
  <c r="I26" i="5"/>
  <c r="M26" i="5" s="1"/>
  <c r="H26" i="5"/>
  <c r="L26" i="5" s="1"/>
  <c r="G9" i="5"/>
  <c r="K9" i="5"/>
  <c r="J9" i="5"/>
  <c r="F9" i="5"/>
  <c r="H9" i="5"/>
  <c r="I9" i="5"/>
  <c r="M9" i="5"/>
  <c r="L9" i="5"/>
  <c r="F96" i="5"/>
  <c r="J96" i="5" s="1"/>
  <c r="I96" i="5"/>
  <c r="M96" i="5" s="1"/>
  <c r="H96" i="5"/>
  <c r="L96" i="5" s="1"/>
  <c r="G96" i="5"/>
  <c r="K96" i="5" s="1"/>
  <c r="F60" i="5"/>
  <c r="J60" i="5" s="1"/>
  <c r="I60" i="5"/>
  <c r="M60" i="5" s="1"/>
  <c r="H60" i="5"/>
  <c r="L60" i="5" s="1"/>
  <c r="G60" i="5"/>
  <c r="K60" i="5" s="1"/>
  <c r="I148" i="5"/>
  <c r="M148" i="5" s="1"/>
  <c r="F148" i="5"/>
  <c r="J148" i="5" s="1"/>
  <c r="H148" i="5"/>
  <c r="L148" i="5" s="1"/>
  <c r="G148" i="5"/>
  <c r="K148" i="5" s="1"/>
  <c r="G155" i="5"/>
  <c r="K155" i="5" s="1"/>
  <c r="F155" i="5"/>
  <c r="J155" i="5" s="1"/>
  <c r="I155" i="5"/>
  <c r="M155" i="5" s="1"/>
  <c r="H155" i="5"/>
  <c r="L155" i="5" s="1"/>
  <c r="G136" i="5"/>
  <c r="K136" i="5"/>
  <c r="F136" i="5"/>
  <c r="J136" i="5"/>
  <c r="I136" i="5"/>
  <c r="M136" i="5"/>
  <c r="H136" i="5"/>
  <c r="L136" i="5"/>
  <c r="G115" i="5"/>
  <c r="M115" i="5"/>
  <c r="F115" i="5"/>
  <c r="J115" i="5" s="1"/>
  <c r="K115" i="5"/>
  <c r="I115" i="5"/>
  <c r="H115" i="5"/>
  <c r="L115" i="5" s="1"/>
  <c r="G98" i="5"/>
  <c r="K98" i="5" s="1"/>
  <c r="F98" i="5"/>
  <c r="J98" i="5" s="1"/>
  <c r="I98" i="5"/>
  <c r="M98" i="5" s="1"/>
  <c r="H98" i="5"/>
  <c r="L98" i="5" s="1"/>
  <c r="G82" i="5"/>
  <c r="K82" i="5" s="1"/>
  <c r="L82" i="5"/>
  <c r="F82" i="5"/>
  <c r="I82" i="5"/>
  <c r="M82" i="5" s="1"/>
  <c r="J82" i="5"/>
  <c r="H82" i="5"/>
  <c r="G63" i="5"/>
  <c r="F63" i="5"/>
  <c r="J63" i="5" s="1"/>
  <c r="M63" i="5"/>
  <c r="K63" i="5"/>
  <c r="I63" i="5"/>
  <c r="L63" i="5"/>
  <c r="H63" i="5"/>
  <c r="G42" i="5"/>
  <c r="K42" i="5" s="1"/>
  <c r="F42" i="5"/>
  <c r="J42" i="5" s="1"/>
  <c r="I42" i="5"/>
  <c r="M42" i="5" s="1"/>
  <c r="H42" i="5"/>
  <c r="L42" i="5" s="1"/>
  <c r="G25" i="5"/>
  <c r="K25" i="5" s="1"/>
  <c r="F25" i="5"/>
  <c r="J25" i="5" s="1"/>
  <c r="I25" i="5"/>
  <c r="M25" i="5" s="1"/>
  <c r="H25" i="5"/>
  <c r="L25" i="5" s="1"/>
  <c r="G8" i="5"/>
  <c r="K8" i="5" s="1"/>
  <c r="F8" i="5"/>
  <c r="J8" i="5" s="1"/>
  <c r="I8" i="5"/>
  <c r="M8" i="5" s="1"/>
  <c r="H8" i="5"/>
  <c r="L8" i="5" s="1"/>
  <c r="F79" i="5"/>
  <c r="J79" i="5" s="1"/>
  <c r="I79" i="5"/>
  <c r="M79" i="5" s="1"/>
  <c r="G79" i="5"/>
  <c r="K79" i="5" s="1"/>
  <c r="H79" i="5"/>
  <c r="L79" i="5" s="1"/>
  <c r="L149" i="5"/>
  <c r="F149" i="5"/>
  <c r="K149" i="5"/>
  <c r="M149" i="5"/>
  <c r="I149" i="5"/>
  <c r="J149" i="5"/>
  <c r="H149" i="5"/>
  <c r="G149" i="5"/>
  <c r="F152" i="5"/>
  <c r="J152" i="5" s="1"/>
  <c r="G152" i="5"/>
  <c r="K152" i="5" s="1"/>
  <c r="I152" i="5"/>
  <c r="M152" i="5" s="1"/>
  <c r="H152" i="5"/>
  <c r="L152" i="5" s="1"/>
  <c r="K133" i="5"/>
  <c r="F133" i="5"/>
  <c r="J133" i="5"/>
  <c r="I133" i="5"/>
  <c r="G133" i="5"/>
  <c r="M133" i="5"/>
  <c r="H133" i="5"/>
  <c r="L133" i="5" s="1"/>
  <c r="F114" i="5"/>
  <c r="J114" i="5" s="1"/>
  <c r="L114" i="5"/>
  <c r="I114" i="5"/>
  <c r="M114" i="5" s="1"/>
  <c r="G114" i="5"/>
  <c r="K114" i="5" s="1"/>
  <c r="H114" i="5"/>
  <c r="K97" i="5"/>
  <c r="F97" i="5"/>
  <c r="G97" i="5"/>
  <c r="J97" i="5"/>
  <c r="I97" i="5"/>
  <c r="L97" i="5"/>
  <c r="M97" i="5"/>
  <c r="H97" i="5"/>
  <c r="F81" i="5"/>
  <c r="J81" i="5" s="1"/>
  <c r="G81" i="5"/>
  <c r="K81" i="5" s="1"/>
  <c r="I81" i="5"/>
  <c r="M81" i="5" s="1"/>
  <c r="H81" i="5"/>
  <c r="L81" i="5" s="1"/>
  <c r="F62" i="5"/>
  <c r="J62" i="5" s="1"/>
  <c r="G62" i="5"/>
  <c r="K62" i="5" s="1"/>
  <c r="I62" i="5"/>
  <c r="M62" i="5" s="1"/>
  <c r="H62" i="5"/>
  <c r="L62" i="5" s="1"/>
  <c r="L41" i="5"/>
  <c r="F41" i="5"/>
  <c r="J41" i="5" s="1"/>
  <c r="G41" i="5"/>
  <c r="K41" i="5" s="1"/>
  <c r="I41" i="5"/>
  <c r="M41" i="5"/>
  <c r="H41" i="5"/>
  <c r="G7" i="5"/>
  <c r="K7" i="5"/>
  <c r="F7" i="5"/>
  <c r="J7" i="5"/>
  <c r="I7" i="5"/>
  <c r="M7" i="5"/>
  <c r="H7" i="5"/>
  <c r="L7" i="5"/>
  <c r="O23" i="5"/>
  <c r="L27" i="5" l="1"/>
  <c r="M27" i="5"/>
  <c r="K16" i="5"/>
  <c r="L16" i="5"/>
  <c r="M19" i="5"/>
  <c r="M21" i="5"/>
  <c r="J27" i="5"/>
  <c r="K19" i="5"/>
  <c r="K75" i="5"/>
  <c r="O153" i="5"/>
  <c r="K153" i="5"/>
  <c r="P153" i="5"/>
  <c r="L153" i="5"/>
  <c r="Q153" i="5"/>
  <c r="T141" i="5"/>
  <c r="Q113" i="5"/>
  <c r="U75" i="5"/>
  <c r="W153" i="5"/>
  <c r="N154" i="5"/>
  <c r="J154" i="5"/>
  <c r="O154" i="5"/>
  <c r="J56" i="5"/>
  <c r="K154" i="5"/>
  <c r="O113" i="5"/>
  <c r="K113" i="5"/>
  <c r="M154" i="5"/>
  <c r="W154" i="5"/>
  <c r="T75" i="5"/>
  <c r="O134" i="5"/>
  <c r="N134" i="5"/>
  <c r="K134" i="5"/>
  <c r="J134" i="5"/>
  <c r="V51" i="5"/>
  <c r="U51" i="5"/>
  <c r="Q75" i="5"/>
  <c r="P134" i="5"/>
  <c r="V154" i="5"/>
  <c r="P154" i="5"/>
  <c r="M113" i="5"/>
  <c r="M134" i="5"/>
  <c r="W134" i="5"/>
  <c r="N113" i="5"/>
  <c r="Q141" i="5"/>
  <c r="J113" i="5"/>
  <c r="P141" i="5"/>
  <c r="O51" i="5"/>
  <c r="O141" i="5"/>
  <c r="V75" i="5"/>
  <c r="P113" i="5"/>
  <c r="V134" i="5"/>
  <c r="V113" i="5"/>
  <c r="N56" i="5"/>
  <c r="K56" i="5"/>
  <c r="U56" i="5"/>
  <c r="T51" i="5"/>
  <c r="M56" i="5"/>
  <c r="N51" i="5"/>
  <c r="W56" i="5"/>
  <c r="W51" i="5"/>
  <c r="V56" i="5"/>
  <c r="P56" i="5"/>
  <c r="Q51" i="5"/>
  <c r="P51" i="5"/>
  <c r="T18" i="5"/>
  <c r="P18" i="5"/>
  <c r="Q20" i="5"/>
  <c r="P20" i="5"/>
  <c r="O29" i="5"/>
  <c r="T17" i="5"/>
  <c r="W29" i="5"/>
  <c r="U15" i="5"/>
  <c r="N18" i="5"/>
  <c r="Q23" i="5"/>
  <c r="N15" i="5"/>
  <c r="V16" i="5"/>
  <c r="W18" i="5"/>
  <c r="V29" i="5"/>
  <c r="W15" i="5"/>
  <c r="O16" i="5"/>
  <c r="P31" i="5"/>
  <c r="U26" i="5"/>
  <c r="O30" i="5"/>
  <c r="V30" i="5"/>
  <c r="P25" i="5"/>
  <c r="O18" i="5"/>
  <c r="T29" i="5"/>
  <c r="V20" i="5"/>
  <c r="U31" i="5"/>
  <c r="N26" i="5"/>
  <c r="P26" i="5"/>
  <c r="W25" i="5"/>
  <c r="T25" i="5"/>
  <c r="W31" i="5"/>
  <c r="T31" i="5"/>
  <c r="W26" i="5"/>
  <c r="O22" i="5"/>
  <c r="W30" i="5"/>
  <c r="T16" i="5"/>
  <c r="T30" i="5"/>
  <c r="J6" i="5"/>
  <c r="G6" i="5"/>
  <c r="H6" i="5"/>
  <c r="I6" i="5"/>
  <c r="V26" i="5"/>
  <c r="P17" i="5"/>
  <c r="Q16" i="5"/>
  <c r="P15" i="5"/>
  <c r="V17" i="5"/>
  <c r="U17" i="5"/>
  <c r="N22" i="5"/>
  <c r="O17" i="5"/>
  <c r="N17" i="5"/>
  <c r="V19" i="5"/>
  <c r="V22" i="5"/>
  <c r="T19" i="5"/>
  <c r="Q17" i="5"/>
  <c r="V18" i="5"/>
  <c r="U20" i="5"/>
  <c r="T20" i="5"/>
  <c r="O20" i="5"/>
  <c r="N20" i="5"/>
  <c r="U18" i="5"/>
  <c r="W17" i="5"/>
  <c r="U19" i="5"/>
  <c r="W20" i="5"/>
  <c r="Q18" i="5"/>
  <c r="Q19" i="5"/>
  <c r="U23" i="5"/>
  <c r="O26" i="5"/>
  <c r="P23" i="5"/>
  <c r="U21" i="5"/>
  <c r="Q21" i="5"/>
  <c r="P21" i="5"/>
  <c r="Q22" i="5"/>
  <c r="T21" i="5"/>
  <c r="T23" i="5"/>
  <c r="Q30" i="5"/>
  <c r="T26" i="5"/>
  <c r="P30" i="5"/>
  <c r="N30" i="5"/>
  <c r="Q25" i="5"/>
  <c r="O25" i="5"/>
  <c r="N25" i="5"/>
  <c r="V25" i="5"/>
  <c r="P29" i="5"/>
  <c r="Q31" i="5"/>
  <c r="N29" i="5"/>
  <c r="Q26" i="5"/>
  <c r="Q27" i="5"/>
  <c r="U25" i="5"/>
  <c r="O27" i="5"/>
  <c r="N27" i="5"/>
  <c r="P27" i="5"/>
  <c r="Q29" i="5"/>
  <c r="V31" i="5"/>
  <c r="U30" i="5"/>
  <c r="O31" i="5"/>
  <c r="U29" i="5"/>
  <c r="N31" i="5"/>
  <c r="T128" i="5" l="1"/>
  <c r="N128" i="5"/>
  <c r="U99" i="5"/>
  <c r="O99" i="5"/>
  <c r="P95" i="5"/>
  <c r="V95" i="5"/>
  <c r="P90" i="5"/>
  <c r="V90" i="5"/>
  <c r="P87" i="5"/>
  <c r="V87" i="5"/>
  <c r="P83" i="5"/>
  <c r="V83" i="5"/>
  <c r="P78" i="5"/>
  <c r="V78" i="5"/>
  <c r="P73" i="5"/>
  <c r="V73" i="5"/>
  <c r="P69" i="5"/>
  <c r="V69" i="5"/>
  <c r="P64" i="5"/>
  <c r="V64" i="5"/>
  <c r="P60" i="5"/>
  <c r="V60" i="5"/>
  <c r="P53" i="5"/>
  <c r="V53" i="5"/>
  <c r="P47" i="5"/>
  <c r="V47" i="5"/>
  <c r="P43" i="5"/>
  <c r="V43" i="5"/>
  <c r="P39" i="5"/>
  <c r="V39" i="5"/>
  <c r="P35" i="5"/>
  <c r="V35" i="5"/>
  <c r="P14" i="5"/>
  <c r="V14" i="5"/>
  <c r="P8" i="5"/>
  <c r="V8" i="5"/>
  <c r="U101" i="5"/>
  <c r="O101" i="5"/>
  <c r="U105" i="5"/>
  <c r="O105" i="5"/>
  <c r="U109" i="5"/>
  <c r="O109" i="5"/>
  <c r="U114" i="5"/>
  <c r="O114" i="5"/>
  <c r="U119" i="5"/>
  <c r="O119" i="5"/>
  <c r="U123" i="5"/>
  <c r="O123" i="5"/>
  <c r="U128" i="5"/>
  <c r="O128" i="5"/>
  <c r="U133" i="5"/>
  <c r="O133" i="5"/>
  <c r="U139" i="5"/>
  <c r="O139" i="5"/>
  <c r="U144" i="5"/>
  <c r="O144" i="5"/>
  <c r="U148" i="5"/>
  <c r="O148" i="5"/>
  <c r="U152" i="5"/>
  <c r="O152" i="5"/>
  <c r="Q83" i="5"/>
  <c r="W83" i="5"/>
  <c r="Q39" i="5"/>
  <c r="W39" i="5"/>
  <c r="T123" i="5"/>
  <c r="N123" i="5"/>
  <c r="P99" i="5"/>
  <c r="V99" i="5"/>
  <c r="U95" i="5"/>
  <c r="O95" i="5"/>
  <c r="U90" i="5"/>
  <c r="O90" i="5"/>
  <c r="U87" i="5"/>
  <c r="O87" i="5"/>
  <c r="U83" i="5"/>
  <c r="O83" i="5"/>
  <c r="U78" i="5"/>
  <c r="O78" i="5"/>
  <c r="U73" i="5"/>
  <c r="O73" i="5"/>
  <c r="U69" i="5"/>
  <c r="O69" i="5"/>
  <c r="U64" i="5"/>
  <c r="O64" i="5"/>
  <c r="U60" i="5"/>
  <c r="O60" i="5"/>
  <c r="U53" i="5"/>
  <c r="O53" i="5"/>
  <c r="U47" i="5"/>
  <c r="O47" i="5"/>
  <c r="U43" i="5"/>
  <c r="O43" i="5"/>
  <c r="U39" i="5"/>
  <c r="O39" i="5"/>
  <c r="U35" i="5"/>
  <c r="O35" i="5"/>
  <c r="U14" i="5"/>
  <c r="O14" i="5"/>
  <c r="U8" i="5"/>
  <c r="O8" i="5"/>
  <c r="P101" i="5"/>
  <c r="V101" i="5"/>
  <c r="P105" i="5"/>
  <c r="V105" i="5"/>
  <c r="P109" i="5"/>
  <c r="V109" i="5"/>
  <c r="P114" i="5"/>
  <c r="V114" i="5"/>
  <c r="P119" i="5"/>
  <c r="V119" i="5"/>
  <c r="P123" i="5"/>
  <c r="V123" i="5"/>
  <c r="P128" i="5"/>
  <c r="V128" i="5"/>
  <c r="P133" i="5"/>
  <c r="V133" i="5"/>
  <c r="P139" i="5"/>
  <c r="V139" i="5"/>
  <c r="P144" i="5"/>
  <c r="V144" i="5"/>
  <c r="P148" i="5"/>
  <c r="V148" i="5"/>
  <c r="P152" i="5"/>
  <c r="V152" i="5"/>
  <c r="Q60" i="5"/>
  <c r="W60" i="5"/>
  <c r="T101" i="5"/>
  <c r="N101" i="5"/>
  <c r="T90" i="5"/>
  <c r="N90" i="5"/>
  <c r="T87" i="5"/>
  <c r="N87" i="5"/>
  <c r="T83" i="5"/>
  <c r="N83" i="5"/>
  <c r="T78" i="5"/>
  <c r="N78" i="5"/>
  <c r="T73" i="5"/>
  <c r="N73" i="5"/>
  <c r="T69" i="5"/>
  <c r="N69" i="5"/>
  <c r="T64" i="5"/>
  <c r="N64" i="5"/>
  <c r="T60" i="5"/>
  <c r="N60" i="5"/>
  <c r="T53" i="5"/>
  <c r="N53" i="5"/>
  <c r="T47" i="5"/>
  <c r="N47" i="5"/>
  <c r="T43" i="5"/>
  <c r="N43" i="5"/>
  <c r="T39" i="5"/>
  <c r="N39" i="5"/>
  <c r="T35" i="5"/>
  <c r="N35" i="5"/>
  <c r="T14" i="5"/>
  <c r="N14" i="5"/>
  <c r="T8" i="5"/>
  <c r="N8" i="5"/>
  <c r="Q101" i="5"/>
  <c r="W101" i="5"/>
  <c r="Q105" i="5"/>
  <c r="W105" i="5"/>
  <c r="Q109" i="5"/>
  <c r="W109" i="5"/>
  <c r="Q114" i="5"/>
  <c r="W114" i="5"/>
  <c r="Q119" i="5"/>
  <c r="W119" i="5"/>
  <c r="Q123" i="5"/>
  <c r="W123" i="5"/>
  <c r="Q128" i="5"/>
  <c r="W128" i="5"/>
  <c r="Q133" i="5"/>
  <c r="W133" i="5"/>
  <c r="Q139" i="5"/>
  <c r="W139" i="5"/>
  <c r="Q144" i="5"/>
  <c r="W144" i="5"/>
  <c r="Q148" i="5"/>
  <c r="W148" i="5"/>
  <c r="Q152" i="5"/>
  <c r="W152" i="5"/>
  <c r="T114" i="5"/>
  <c r="N114" i="5"/>
  <c r="W93" i="5"/>
  <c r="Q93" i="5"/>
  <c r="W89" i="5"/>
  <c r="Q89" i="5"/>
  <c r="W86" i="5"/>
  <c r="Q86" i="5"/>
  <c r="W82" i="5"/>
  <c r="Q82" i="5"/>
  <c r="W77" i="5"/>
  <c r="Q77" i="5"/>
  <c r="W72" i="5"/>
  <c r="Q72" i="5"/>
  <c r="W68" i="5"/>
  <c r="Q68" i="5"/>
  <c r="W63" i="5"/>
  <c r="Q63" i="5"/>
  <c r="W59" i="5"/>
  <c r="Q59" i="5"/>
  <c r="W50" i="5"/>
  <c r="Q50" i="5"/>
  <c r="W46" i="5"/>
  <c r="Q46" i="5"/>
  <c r="W42" i="5"/>
  <c r="Q42" i="5"/>
  <c r="W38" i="5"/>
  <c r="Q38" i="5"/>
  <c r="W34" i="5"/>
  <c r="Q34" i="5"/>
  <c r="W13" i="5"/>
  <c r="Q13" i="5"/>
  <c r="W7" i="5"/>
  <c r="Q7" i="5"/>
  <c r="T102" i="5"/>
  <c r="N102" i="5"/>
  <c r="T106" i="5"/>
  <c r="N106" i="5"/>
  <c r="T110" i="5"/>
  <c r="N110" i="5"/>
  <c r="T115" i="5"/>
  <c r="N115" i="5"/>
  <c r="T120" i="5"/>
  <c r="N120" i="5"/>
  <c r="T124" i="5"/>
  <c r="N124" i="5"/>
  <c r="T129" i="5"/>
  <c r="N129" i="5"/>
  <c r="T136" i="5"/>
  <c r="N136" i="5"/>
  <c r="T140" i="5"/>
  <c r="N140" i="5"/>
  <c r="T145" i="5"/>
  <c r="N145" i="5"/>
  <c r="T149" i="5"/>
  <c r="N149" i="5"/>
  <c r="Q157" i="5"/>
  <c r="W157" i="5"/>
  <c r="T144" i="5"/>
  <c r="N144" i="5"/>
  <c r="V93" i="5"/>
  <c r="P93" i="5"/>
  <c r="V89" i="5"/>
  <c r="P89" i="5"/>
  <c r="V86" i="5"/>
  <c r="P86" i="5"/>
  <c r="V82" i="5"/>
  <c r="P82" i="5"/>
  <c r="V77" i="5"/>
  <c r="P77" i="5"/>
  <c r="V72" i="5"/>
  <c r="P72" i="5"/>
  <c r="V68" i="5"/>
  <c r="P68" i="5"/>
  <c r="V63" i="5"/>
  <c r="P63" i="5"/>
  <c r="V59" i="5"/>
  <c r="P59" i="5"/>
  <c r="V50" i="5"/>
  <c r="P50" i="5"/>
  <c r="V46" i="5"/>
  <c r="P46" i="5"/>
  <c r="V42" i="5"/>
  <c r="P42" i="5"/>
  <c r="V38" i="5"/>
  <c r="P38" i="5"/>
  <c r="V34" i="5"/>
  <c r="P34" i="5"/>
  <c r="V13" i="5"/>
  <c r="P13" i="5"/>
  <c r="V7" i="5"/>
  <c r="P7" i="5"/>
  <c r="U102" i="5"/>
  <c r="O102" i="5"/>
  <c r="U106" i="5"/>
  <c r="O106" i="5"/>
  <c r="U110" i="5"/>
  <c r="O110" i="5"/>
  <c r="U115" i="5"/>
  <c r="O115" i="5"/>
  <c r="U120" i="5"/>
  <c r="O120" i="5"/>
  <c r="U124" i="5"/>
  <c r="O124" i="5"/>
  <c r="U129" i="5"/>
  <c r="O129" i="5"/>
  <c r="U136" i="5"/>
  <c r="O136" i="5"/>
  <c r="U140" i="5"/>
  <c r="O140" i="5"/>
  <c r="U145" i="5"/>
  <c r="O145" i="5"/>
  <c r="U149" i="5"/>
  <c r="O149" i="5"/>
  <c r="P157" i="5"/>
  <c r="V157" i="5"/>
  <c r="Q95" i="5"/>
  <c r="W95" i="5"/>
  <c r="Q35" i="5"/>
  <c r="W35" i="5"/>
  <c r="T95" i="5"/>
  <c r="N95" i="5"/>
  <c r="U89" i="5"/>
  <c r="O89" i="5"/>
  <c r="U86" i="5"/>
  <c r="O86" i="5"/>
  <c r="U82" i="5"/>
  <c r="O82" i="5"/>
  <c r="U77" i="5"/>
  <c r="O77" i="5"/>
  <c r="U72" i="5"/>
  <c r="O72" i="5"/>
  <c r="U68" i="5"/>
  <c r="O68" i="5"/>
  <c r="U63" i="5"/>
  <c r="O63" i="5"/>
  <c r="U59" i="5"/>
  <c r="O59" i="5"/>
  <c r="U50" i="5"/>
  <c r="O50" i="5"/>
  <c r="U46" i="5"/>
  <c r="O46" i="5"/>
  <c r="U42" i="5"/>
  <c r="O42" i="5"/>
  <c r="U38" i="5"/>
  <c r="O38" i="5"/>
  <c r="U34" i="5"/>
  <c r="O34" i="5"/>
  <c r="U13" i="5"/>
  <c r="O13" i="5"/>
  <c r="U7" i="5"/>
  <c r="O7" i="5"/>
  <c r="V102" i="5"/>
  <c r="P102" i="5"/>
  <c r="V106" i="5"/>
  <c r="P106" i="5"/>
  <c r="V110" i="5"/>
  <c r="P110" i="5"/>
  <c r="V115" i="5"/>
  <c r="P115" i="5"/>
  <c r="V120" i="5"/>
  <c r="P120" i="5"/>
  <c r="V124" i="5"/>
  <c r="P124" i="5"/>
  <c r="V129" i="5"/>
  <c r="P129" i="5"/>
  <c r="V136" i="5"/>
  <c r="P136" i="5"/>
  <c r="V140" i="5"/>
  <c r="P140" i="5"/>
  <c r="V145" i="5"/>
  <c r="P145" i="5"/>
  <c r="V149" i="5"/>
  <c r="P149" i="5"/>
  <c r="O157" i="5"/>
  <c r="U157" i="5"/>
  <c r="T133" i="5"/>
  <c r="N133" i="5"/>
  <c r="U98" i="5"/>
  <c r="O98" i="5"/>
  <c r="T86" i="5"/>
  <c r="N86" i="5"/>
  <c r="T82" i="5"/>
  <c r="N82" i="5"/>
  <c r="T77" i="5"/>
  <c r="N77" i="5"/>
  <c r="T72" i="5"/>
  <c r="N72" i="5"/>
  <c r="T68" i="5"/>
  <c r="N68" i="5"/>
  <c r="T63" i="5"/>
  <c r="N63" i="5"/>
  <c r="T59" i="5"/>
  <c r="N59" i="5"/>
  <c r="T50" i="5"/>
  <c r="N50" i="5"/>
  <c r="T46" i="5"/>
  <c r="N46" i="5"/>
  <c r="T42" i="5"/>
  <c r="N42" i="5"/>
  <c r="T38" i="5"/>
  <c r="N38" i="5"/>
  <c r="T34" i="5"/>
  <c r="N34" i="5"/>
  <c r="T13" i="5"/>
  <c r="N13" i="5"/>
  <c r="T7" i="5"/>
  <c r="N7" i="5"/>
  <c r="W102" i="5"/>
  <c r="Q102" i="5"/>
  <c r="W106" i="5"/>
  <c r="Q106" i="5"/>
  <c r="W110" i="5"/>
  <c r="Q110" i="5"/>
  <c r="W115" i="5"/>
  <c r="Q115" i="5"/>
  <c r="W120" i="5"/>
  <c r="Q120" i="5"/>
  <c r="W124" i="5"/>
  <c r="Q124" i="5"/>
  <c r="W129" i="5"/>
  <c r="Q129" i="5"/>
  <c r="W136" i="5"/>
  <c r="Q136" i="5"/>
  <c r="W140" i="5"/>
  <c r="Q140" i="5"/>
  <c r="W145" i="5"/>
  <c r="Q145" i="5"/>
  <c r="W149" i="5"/>
  <c r="Q149" i="5"/>
  <c r="N157" i="5"/>
  <c r="T157" i="5"/>
  <c r="Q64" i="5"/>
  <c r="W64" i="5"/>
  <c r="T152" i="5"/>
  <c r="N152" i="5"/>
  <c r="V98" i="5"/>
  <c r="P98" i="5"/>
  <c r="T98" i="5"/>
  <c r="N98" i="5"/>
  <c r="T89" i="5"/>
  <c r="N89" i="5"/>
  <c r="Q97" i="5"/>
  <c r="W97" i="5"/>
  <c r="Q92" i="5"/>
  <c r="W92" i="5"/>
  <c r="Q85" i="5"/>
  <c r="W85" i="5"/>
  <c r="Q81" i="5"/>
  <c r="W81" i="5"/>
  <c r="Q76" i="5"/>
  <c r="W76" i="5"/>
  <c r="Q71" i="5"/>
  <c r="W71" i="5"/>
  <c r="Q67" i="5"/>
  <c r="W67" i="5"/>
  <c r="Q62" i="5"/>
  <c r="W62" i="5"/>
  <c r="Q58" i="5"/>
  <c r="W58" i="5"/>
  <c r="Q49" i="5"/>
  <c r="W49" i="5"/>
  <c r="Q45" i="5"/>
  <c r="W45" i="5"/>
  <c r="Q41" i="5"/>
  <c r="W41" i="5"/>
  <c r="Q37" i="5"/>
  <c r="W37" i="5"/>
  <c r="Q33" i="5"/>
  <c r="W33" i="5"/>
  <c r="Q11" i="5"/>
  <c r="W11" i="5"/>
  <c r="M6" i="5"/>
  <c r="W6" i="5"/>
  <c r="Q6" i="5"/>
  <c r="T103" i="5"/>
  <c r="N103" i="5"/>
  <c r="T107" i="5"/>
  <c r="N107" i="5"/>
  <c r="T111" i="5"/>
  <c r="N111" i="5"/>
  <c r="T116" i="5"/>
  <c r="N116" i="5"/>
  <c r="T121" i="5"/>
  <c r="N121" i="5"/>
  <c r="T125" i="5"/>
  <c r="N125" i="5"/>
  <c r="T130" i="5"/>
  <c r="N130" i="5"/>
  <c r="T137" i="5"/>
  <c r="N137" i="5"/>
  <c r="T142" i="5"/>
  <c r="N142" i="5"/>
  <c r="T146" i="5"/>
  <c r="N146" i="5"/>
  <c r="T150" i="5"/>
  <c r="N150" i="5"/>
  <c r="Q156" i="5"/>
  <c r="W156" i="5"/>
  <c r="Q90" i="5"/>
  <c r="W90" i="5"/>
  <c r="T119" i="5"/>
  <c r="N119" i="5"/>
  <c r="W98" i="5"/>
  <c r="Q98" i="5"/>
  <c r="U93" i="5"/>
  <c r="O93" i="5"/>
  <c r="T93" i="5"/>
  <c r="N93" i="5"/>
  <c r="P97" i="5"/>
  <c r="V97" i="5"/>
  <c r="P92" i="5"/>
  <c r="V92" i="5"/>
  <c r="P85" i="5"/>
  <c r="V85" i="5"/>
  <c r="P81" i="5"/>
  <c r="V81" i="5"/>
  <c r="P76" i="5"/>
  <c r="V76" i="5"/>
  <c r="P71" i="5"/>
  <c r="V71" i="5"/>
  <c r="P67" i="5"/>
  <c r="V67" i="5"/>
  <c r="P62" i="5"/>
  <c r="V62" i="5"/>
  <c r="P58" i="5"/>
  <c r="V58" i="5"/>
  <c r="P49" i="5"/>
  <c r="V49" i="5"/>
  <c r="P45" i="5"/>
  <c r="V45" i="5"/>
  <c r="P41" i="5"/>
  <c r="V41" i="5"/>
  <c r="P37" i="5"/>
  <c r="V37" i="5"/>
  <c r="P33" i="5"/>
  <c r="V33" i="5"/>
  <c r="P11" i="5"/>
  <c r="V11" i="5"/>
  <c r="L6" i="5"/>
  <c r="V6" i="5"/>
  <c r="P6" i="5"/>
  <c r="U103" i="5"/>
  <c r="O103" i="5"/>
  <c r="U107" i="5"/>
  <c r="O107" i="5"/>
  <c r="U111" i="5"/>
  <c r="O111" i="5"/>
  <c r="U116" i="5"/>
  <c r="O116" i="5"/>
  <c r="U121" i="5"/>
  <c r="O121" i="5"/>
  <c r="U125" i="5"/>
  <c r="O125" i="5"/>
  <c r="U130" i="5"/>
  <c r="O130" i="5"/>
  <c r="U137" i="5"/>
  <c r="O137" i="5"/>
  <c r="U142" i="5"/>
  <c r="O142" i="5"/>
  <c r="U146" i="5"/>
  <c r="O146" i="5"/>
  <c r="U150" i="5"/>
  <c r="O150" i="5"/>
  <c r="P156" i="5"/>
  <c r="V156" i="5"/>
  <c r="T99" i="5"/>
  <c r="N99" i="5"/>
  <c r="Q43" i="5"/>
  <c r="W43" i="5"/>
  <c r="T148" i="5"/>
  <c r="N148" i="5"/>
  <c r="U85" i="5"/>
  <c r="O85" i="5"/>
  <c r="U81" i="5"/>
  <c r="O81" i="5"/>
  <c r="U76" i="5"/>
  <c r="O76" i="5"/>
  <c r="U71" i="5"/>
  <c r="O71" i="5"/>
  <c r="U67" i="5"/>
  <c r="O67" i="5"/>
  <c r="U62" i="5"/>
  <c r="O62" i="5"/>
  <c r="U58" i="5"/>
  <c r="O58" i="5"/>
  <c r="U49" i="5"/>
  <c r="O49" i="5"/>
  <c r="U45" i="5"/>
  <c r="O45" i="5"/>
  <c r="U41" i="5"/>
  <c r="O41" i="5"/>
  <c r="U37" i="5"/>
  <c r="O37" i="5"/>
  <c r="U33" i="5"/>
  <c r="O33" i="5"/>
  <c r="U11" i="5"/>
  <c r="O11" i="5"/>
  <c r="K6" i="5"/>
  <c r="U6" i="5"/>
  <c r="O6" i="5"/>
  <c r="P103" i="5"/>
  <c r="V103" i="5"/>
  <c r="P107" i="5"/>
  <c r="V107" i="5"/>
  <c r="P111" i="5"/>
  <c r="V111" i="5"/>
  <c r="P116" i="5"/>
  <c r="V116" i="5"/>
  <c r="P121" i="5"/>
  <c r="V121" i="5"/>
  <c r="P125" i="5"/>
  <c r="V125" i="5"/>
  <c r="P130" i="5"/>
  <c r="V130" i="5"/>
  <c r="P137" i="5"/>
  <c r="V137" i="5"/>
  <c r="P142" i="5"/>
  <c r="V142" i="5"/>
  <c r="P146" i="5"/>
  <c r="V146" i="5"/>
  <c r="P150" i="5"/>
  <c r="V150" i="5"/>
  <c r="U156" i="5"/>
  <c r="O156" i="5"/>
  <c r="Q47" i="5"/>
  <c r="W47" i="5"/>
  <c r="T139" i="5"/>
  <c r="N139" i="5"/>
  <c r="T81" i="5"/>
  <c r="N81" i="5"/>
  <c r="T67" i="5"/>
  <c r="N67" i="5"/>
  <c r="T49" i="5"/>
  <c r="N49" i="5"/>
  <c r="T45" i="5"/>
  <c r="N45" i="5"/>
  <c r="T41" i="5"/>
  <c r="N41" i="5"/>
  <c r="T37" i="5"/>
  <c r="N37" i="5"/>
  <c r="T33" i="5"/>
  <c r="N33" i="5"/>
  <c r="T11" i="5"/>
  <c r="N11" i="5"/>
  <c r="T6" i="5"/>
  <c r="N6" i="5"/>
  <c r="Q103" i="5"/>
  <c r="W103" i="5"/>
  <c r="Q107" i="5"/>
  <c r="W107" i="5"/>
  <c r="Q111" i="5"/>
  <c r="W111" i="5"/>
  <c r="Q116" i="5"/>
  <c r="W116" i="5"/>
  <c r="Q121" i="5"/>
  <c r="W121" i="5"/>
  <c r="Q125" i="5"/>
  <c r="W125" i="5"/>
  <c r="Q130" i="5"/>
  <c r="W130" i="5"/>
  <c r="Q137" i="5"/>
  <c r="W137" i="5"/>
  <c r="Q142" i="5"/>
  <c r="W142" i="5"/>
  <c r="Q146" i="5"/>
  <c r="W146" i="5"/>
  <c r="Q150" i="5"/>
  <c r="W150" i="5"/>
  <c r="T156" i="5"/>
  <c r="N156" i="5"/>
  <c r="Q73" i="5"/>
  <c r="W73" i="5"/>
  <c r="T109" i="5"/>
  <c r="N109" i="5"/>
  <c r="T85" i="5"/>
  <c r="N85" i="5"/>
  <c r="T62" i="5"/>
  <c r="N62" i="5"/>
  <c r="Q91" i="5"/>
  <c r="W91" i="5"/>
  <c r="Q88" i="5"/>
  <c r="W88" i="5"/>
  <c r="Q84" i="5"/>
  <c r="W84" i="5"/>
  <c r="Q79" i="5"/>
  <c r="W79" i="5"/>
  <c r="Q74" i="5"/>
  <c r="W74" i="5"/>
  <c r="Q70" i="5"/>
  <c r="W70" i="5"/>
  <c r="Q65" i="5"/>
  <c r="W65" i="5"/>
  <c r="Q61" i="5"/>
  <c r="W61" i="5"/>
  <c r="Q57" i="5"/>
  <c r="W57" i="5"/>
  <c r="Q48" i="5"/>
  <c r="W48" i="5"/>
  <c r="Q44" i="5"/>
  <c r="W44" i="5"/>
  <c r="Q40" i="5"/>
  <c r="W40" i="5"/>
  <c r="Q36" i="5"/>
  <c r="W36" i="5"/>
  <c r="Q32" i="5"/>
  <c r="W32" i="5"/>
  <c r="Q9" i="5"/>
  <c r="W9" i="5"/>
  <c r="N100" i="5"/>
  <c r="T100" i="5"/>
  <c r="N104" i="5"/>
  <c r="T104" i="5"/>
  <c r="N108" i="5"/>
  <c r="T108" i="5"/>
  <c r="N112" i="5"/>
  <c r="T112" i="5"/>
  <c r="N118" i="5"/>
  <c r="T118" i="5"/>
  <c r="N122" i="5"/>
  <c r="T122" i="5"/>
  <c r="N127" i="5"/>
  <c r="T127" i="5"/>
  <c r="N131" i="5"/>
  <c r="T131" i="5"/>
  <c r="N138" i="5"/>
  <c r="T138" i="5"/>
  <c r="N143" i="5"/>
  <c r="T143" i="5"/>
  <c r="N147" i="5"/>
  <c r="T147" i="5"/>
  <c r="N151" i="5"/>
  <c r="T151" i="5"/>
  <c r="W155" i="5"/>
  <c r="Q155" i="5"/>
  <c r="Q87" i="5"/>
  <c r="W87" i="5"/>
  <c r="Q53" i="5"/>
  <c r="W53" i="5"/>
  <c r="Q14" i="5"/>
  <c r="W14" i="5"/>
  <c r="Q8" i="5"/>
  <c r="W8" i="5"/>
  <c r="U92" i="5"/>
  <c r="O92" i="5"/>
  <c r="T58" i="5"/>
  <c r="N58" i="5"/>
  <c r="P91" i="5"/>
  <c r="V91" i="5"/>
  <c r="P88" i="5"/>
  <c r="V88" i="5"/>
  <c r="P84" i="5"/>
  <c r="V84" i="5"/>
  <c r="P79" i="5"/>
  <c r="V79" i="5"/>
  <c r="P74" i="5"/>
  <c r="V74" i="5"/>
  <c r="P70" i="5"/>
  <c r="V70" i="5"/>
  <c r="P65" i="5"/>
  <c r="V65" i="5"/>
  <c r="P61" i="5"/>
  <c r="V61" i="5"/>
  <c r="P57" i="5"/>
  <c r="V57" i="5"/>
  <c r="P48" i="5"/>
  <c r="V48" i="5"/>
  <c r="P44" i="5"/>
  <c r="V44" i="5"/>
  <c r="P40" i="5"/>
  <c r="V40" i="5"/>
  <c r="P36" i="5"/>
  <c r="V36" i="5"/>
  <c r="P32" i="5"/>
  <c r="V32" i="5"/>
  <c r="P9" i="5"/>
  <c r="V9" i="5"/>
  <c r="O100" i="5"/>
  <c r="U100" i="5"/>
  <c r="O104" i="5"/>
  <c r="U104" i="5"/>
  <c r="O108" i="5"/>
  <c r="U108" i="5"/>
  <c r="O112" i="5"/>
  <c r="U112" i="5"/>
  <c r="O118" i="5"/>
  <c r="U118" i="5"/>
  <c r="O122" i="5"/>
  <c r="U122" i="5"/>
  <c r="O127" i="5"/>
  <c r="U127" i="5"/>
  <c r="O131" i="5"/>
  <c r="U131" i="5"/>
  <c r="O138" i="5"/>
  <c r="U138" i="5"/>
  <c r="O143" i="5"/>
  <c r="U143" i="5"/>
  <c r="O147" i="5"/>
  <c r="U147" i="5"/>
  <c r="O151" i="5"/>
  <c r="U151" i="5"/>
  <c r="V155" i="5"/>
  <c r="P155" i="5"/>
  <c r="Q69" i="5"/>
  <c r="W69" i="5"/>
  <c r="Q99" i="5"/>
  <c r="W99" i="5"/>
  <c r="T97" i="5"/>
  <c r="N97" i="5"/>
  <c r="T76" i="5"/>
  <c r="N76" i="5"/>
  <c r="P96" i="5"/>
  <c r="V96" i="5"/>
  <c r="O91" i="5"/>
  <c r="U91" i="5"/>
  <c r="O88" i="5"/>
  <c r="U88" i="5"/>
  <c r="O79" i="5"/>
  <c r="U79" i="5"/>
  <c r="O74" i="5"/>
  <c r="U74" i="5"/>
  <c r="O70" i="5"/>
  <c r="U70" i="5"/>
  <c r="O65" i="5"/>
  <c r="U65" i="5"/>
  <c r="O61" i="5"/>
  <c r="U61" i="5"/>
  <c r="O57" i="5"/>
  <c r="U57" i="5"/>
  <c r="O48" i="5"/>
  <c r="U48" i="5"/>
  <c r="O44" i="5"/>
  <c r="U44" i="5"/>
  <c r="O40" i="5"/>
  <c r="U40" i="5"/>
  <c r="O36" i="5"/>
  <c r="U36" i="5"/>
  <c r="O32" i="5"/>
  <c r="U32" i="5"/>
  <c r="O9" i="5"/>
  <c r="U9" i="5"/>
  <c r="P100" i="5"/>
  <c r="V100" i="5"/>
  <c r="P104" i="5"/>
  <c r="V104" i="5"/>
  <c r="P108" i="5"/>
  <c r="V108" i="5"/>
  <c r="P112" i="5"/>
  <c r="V112" i="5"/>
  <c r="P118" i="5"/>
  <c r="V118" i="5"/>
  <c r="P122" i="5"/>
  <c r="V122" i="5"/>
  <c r="P127" i="5"/>
  <c r="V127" i="5"/>
  <c r="P131" i="5"/>
  <c r="V131" i="5"/>
  <c r="P138" i="5"/>
  <c r="V138" i="5"/>
  <c r="P143" i="5"/>
  <c r="V143" i="5"/>
  <c r="P147" i="5"/>
  <c r="V147" i="5"/>
  <c r="P151" i="5"/>
  <c r="V151" i="5"/>
  <c r="U155" i="5"/>
  <c r="O155" i="5"/>
  <c r="Q78" i="5"/>
  <c r="W78" i="5"/>
  <c r="T105" i="5"/>
  <c r="N105" i="5"/>
  <c r="U97" i="5"/>
  <c r="O97" i="5"/>
  <c r="T92" i="5"/>
  <c r="N92" i="5"/>
  <c r="T71" i="5"/>
  <c r="N71" i="5"/>
  <c r="Q96" i="5"/>
  <c r="W96" i="5"/>
  <c r="O96" i="5"/>
  <c r="U96" i="5"/>
  <c r="O84" i="5"/>
  <c r="U84" i="5"/>
  <c r="N96" i="5"/>
  <c r="T96" i="5"/>
  <c r="N91" i="5"/>
  <c r="T91" i="5"/>
  <c r="N88" i="5"/>
  <c r="T88" i="5"/>
  <c r="N84" i="5"/>
  <c r="T84" i="5"/>
  <c r="N79" i="5"/>
  <c r="T79" i="5"/>
  <c r="N74" i="5"/>
  <c r="T74" i="5"/>
  <c r="N70" i="5"/>
  <c r="T70" i="5"/>
  <c r="N65" i="5"/>
  <c r="T65" i="5"/>
  <c r="N61" i="5"/>
  <c r="T61" i="5"/>
  <c r="N57" i="5"/>
  <c r="T57" i="5"/>
  <c r="N48" i="5"/>
  <c r="T48" i="5"/>
  <c r="N44" i="5"/>
  <c r="T44" i="5"/>
  <c r="N40" i="5"/>
  <c r="T40" i="5"/>
  <c r="N36" i="5"/>
  <c r="T36" i="5"/>
  <c r="N32" i="5"/>
  <c r="T32" i="5"/>
  <c r="N9" i="5"/>
  <c r="T9" i="5"/>
  <c r="Q100" i="5"/>
  <c r="W100" i="5"/>
  <c r="Q104" i="5"/>
  <c r="W104" i="5"/>
  <c r="Q108" i="5"/>
  <c r="W108" i="5"/>
  <c r="Q112" i="5"/>
  <c r="W112" i="5"/>
  <c r="Q118" i="5"/>
  <c r="W118" i="5"/>
  <c r="Q122" i="5"/>
  <c r="W122" i="5"/>
  <c r="Q127" i="5"/>
  <c r="W127" i="5"/>
  <c r="Q131" i="5"/>
  <c r="W131" i="5"/>
  <c r="Q138" i="5"/>
  <c r="W138" i="5"/>
  <c r="Q143" i="5"/>
  <c r="W143" i="5"/>
  <c r="Q147" i="5"/>
  <c r="W147" i="5"/>
  <c r="Q151" i="5"/>
  <c r="W151" i="5"/>
  <c r="T155" i="5"/>
  <c r="N15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Nina Celine Steidinger</author>
  </authors>
  <commentList>
    <comment ref="C2" authorId="0" shapeId="0" xr:uid="{F2C22666-56F7-412C-AA6F-1A246A24A16C}">
      <text>
        <r>
          <rPr>
            <b/>
            <sz val="9"/>
            <color indexed="81"/>
            <rFont val="Segoe UI"/>
            <family val="2"/>
          </rPr>
          <t xml:space="preserve">0: Basis-Spiel
1: Deluxe-Edition
2: Arctic-Pack
3: South America-Pack
4: Australia-Pack 
5: Aquatik-Pack
6: Southeast Asia-Pack
7: Africa-Pack
8: North America Pack
9: Europe Pack
10: Wetlands Pack
11: Conservation Pack
12: Twilight Pack
13: Conservation Pack
14: Tropical Pack
15: Arid Animal Pack
16: Oceania Pack
17: Eurasia Animal Pack
18: Barnyard Animal Pack
19: Zookeepers Animal Pack
</t>
        </r>
      </text>
    </comment>
    <comment ref="AE4" authorId="0" shapeId="0" xr:uid="{54492B4C-9B84-4354-85A2-47C836BA4795}">
      <text>
        <r>
          <rPr>
            <b/>
            <sz val="9"/>
            <color indexed="81"/>
            <rFont val="Segoe UI"/>
            <family val="2"/>
          </rPr>
          <t>Ja+ = Gäste interagieren auch mit dieser Tierart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5" authorId="0" shapeId="0" xr:uid="{D1A02961-B565-4D23-9FEC-9B2CF583A059}">
      <text>
        <r>
          <rPr>
            <b/>
            <sz val="9"/>
            <color indexed="81"/>
            <rFont val="Segoe UI"/>
            <family val="2"/>
          </rPr>
          <t>Wurde beim Jubiläum 2024 dem Spiel gratis hinzugefügt.</t>
        </r>
      </text>
    </comment>
    <comment ref="W13" authorId="0" shapeId="0" xr:uid="{A9C6D0BC-DF09-41B1-BE5A-DB7032475899}">
      <text>
        <r>
          <rPr>
            <b/>
            <sz val="9"/>
            <color indexed="81"/>
            <rFont val="Segoe UI"/>
            <family val="2"/>
          </rPr>
          <t>Nicht aus Holz!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51" authorId="0" shapeId="0" xr:uid="{4F775BB2-23AB-4B7C-9F10-3738377174C4}">
      <text>
        <r>
          <rPr>
            <b/>
            <sz val="9"/>
            <color indexed="81"/>
            <rFont val="Segoe UI"/>
            <family val="2"/>
          </rPr>
          <t>Wurde beim Jubiläum 2023 dem Spiel gratis hinzugefügt.</t>
        </r>
      </text>
    </comment>
    <comment ref="C109" authorId="0" shapeId="0" xr:uid="{8FC29D44-4323-418D-B17C-1D1323684C55}">
      <text>
        <r>
          <rPr>
            <b/>
            <sz val="9"/>
            <color indexed="81"/>
            <rFont val="Segoe UI"/>
            <family val="2"/>
          </rPr>
          <t>Wurde beim Jubiläum 2022 dem Spiel gratis hinzugefügt.</t>
        </r>
      </text>
    </comment>
    <comment ref="C119" authorId="0" shapeId="0" xr:uid="{36170549-3898-4460-AE61-E5922C207010}">
      <text>
        <r>
          <rPr>
            <b/>
            <sz val="9"/>
            <color indexed="81"/>
            <rFont val="Segoe UI"/>
            <family val="2"/>
          </rPr>
          <t>Wurde beim Jubiläum 2021 dem Spiel gratis hinzugefügt.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Nina Celine Steidinger</author>
  </authors>
  <commentList>
    <comment ref="C2" authorId="0" shapeId="0" xr:uid="{D13E8C17-D848-4867-B5EC-014E53FCD4EE}">
      <text>
        <r>
          <rPr>
            <b/>
            <sz val="9"/>
            <color indexed="81"/>
            <rFont val="Segoe UI"/>
            <family val="2"/>
          </rPr>
          <t xml:space="preserve">0: Basis-Spiel
1: Deluxe-Edition
2: Arctic-Pack
3: South America-Pack
4: Australia-Pack 
5: Aquatik-Pack
6: Southeast Asia-Pack
7: Africa-Pack
8: North America Pack
9: Europe Pack
10: Wetlands Pack
11: Conservation Pack
12: Twilight Pack
13: Conservation Pack
14: Tropical Pack
15: Arid Animal Pack
16: Oceania Pack
17: Eurasia Animal Pack
18: Barnyard Animal Pack
19: Zookeepers Animal Pack
</t>
        </r>
      </text>
    </comment>
  </commentList>
</comments>
</file>

<file path=xl/sharedStrings.xml><?xml version="1.0" encoding="utf-8"?>
<sst xmlns="http://schemas.openxmlformats.org/spreadsheetml/2006/main" count="2758" uniqueCount="528">
  <si>
    <t>SG</t>
  </si>
  <si>
    <t>Zwergflusspferd</t>
  </si>
  <si>
    <t>AB</t>
  </si>
  <si>
    <t xml:space="preserve">Westlicher Schimpanse </t>
  </si>
  <si>
    <t xml:space="preserve">Westlicher Flachlandgorilla </t>
  </si>
  <si>
    <t xml:space="preserve">Westafrikanischer Löwe </t>
  </si>
  <si>
    <t>NG</t>
  </si>
  <si>
    <t xml:space="preserve">Weißschwanzgnu </t>
  </si>
  <si>
    <t>G</t>
  </si>
  <si>
    <t>Weißschulter-Kapuzineraffe</t>
  </si>
  <si>
    <t xml:space="preserve">Warzenschwein </t>
  </si>
  <si>
    <t xml:space="preserve">Tüpfelhyäne </t>
  </si>
  <si>
    <t>Z</t>
  </si>
  <si>
    <t xml:space="preserve">Trampeltier </t>
  </si>
  <si>
    <t>Timberwolf</t>
  </si>
  <si>
    <t>Thomson-Gazelle</t>
  </si>
  <si>
    <t xml:space="preserve">Taiwanischer Schwarzbär </t>
  </si>
  <si>
    <t>PG</t>
  </si>
  <si>
    <t xml:space="preserve">Steppenzebra </t>
  </si>
  <si>
    <t>Springbock</t>
  </si>
  <si>
    <t xml:space="preserve">Spießbock </t>
  </si>
  <si>
    <t>Sonnenbär</t>
  </si>
  <si>
    <t xml:space="preserve">Sibirischer Tiger </t>
  </si>
  <si>
    <t xml:space="preserve">Schneeleopard </t>
  </si>
  <si>
    <t xml:space="preserve">Rothund </t>
  </si>
  <si>
    <t xml:space="preserve">Rotes Riesenkänguru </t>
  </si>
  <si>
    <t xml:space="preserve">Roter Vari </t>
  </si>
  <si>
    <t xml:space="preserve">Rosaflamingo </t>
  </si>
  <si>
    <t>Riesenotter</t>
  </si>
  <si>
    <t>Rentier</t>
  </si>
  <si>
    <t xml:space="preserve">Rappenantilope </t>
  </si>
  <si>
    <t>Polarwolf</t>
  </si>
  <si>
    <t xml:space="preserve">Panzernashorn </t>
  </si>
  <si>
    <t xml:space="preserve">Okapi </t>
  </si>
  <si>
    <t xml:space="preserve">Nyala </t>
  </si>
  <si>
    <t>UD</t>
  </si>
  <si>
    <t xml:space="preserve">Nilwaran </t>
  </si>
  <si>
    <t xml:space="preserve">Netzgiraffe </t>
  </si>
  <si>
    <t>Nebelparder</t>
  </si>
  <si>
    <t>Nasenaffe</t>
  </si>
  <si>
    <t xml:space="preserve">Mittelamerikanischer Tapir </t>
  </si>
  <si>
    <t xml:space="preserve">Mandrill </t>
  </si>
  <si>
    <t>Malaysischer Tapir</t>
  </si>
  <si>
    <t xml:space="preserve">Leistenkrokodil </t>
  </si>
  <si>
    <t>Lama</t>
  </si>
  <si>
    <t xml:space="preserve">Königstiger </t>
  </si>
  <si>
    <t>Königspinguin</t>
  </si>
  <si>
    <t>Komodowaran</t>
  </si>
  <si>
    <t>Koala</t>
  </si>
  <si>
    <t xml:space="preserve">Kleiner Panda </t>
  </si>
  <si>
    <t>Kegelrobbe</t>
  </si>
  <si>
    <t xml:space="preserve">Katta </t>
  </si>
  <si>
    <t xml:space="preserve">Kaffernbüffel </t>
  </si>
  <si>
    <t xml:space="preserve">Japanmakak </t>
  </si>
  <si>
    <t>Jaguar</t>
  </si>
  <si>
    <t xml:space="preserve">Isabellbär </t>
  </si>
  <si>
    <t xml:space="preserve">Indischer Elefant </t>
  </si>
  <si>
    <t>Helmkasuar</t>
  </si>
  <si>
    <t xml:space="preserve">Großer Panda </t>
  </si>
  <si>
    <t>Großer Ameisenbär</t>
  </si>
  <si>
    <t xml:space="preserve">Grizzlybär </t>
  </si>
  <si>
    <t xml:space="preserve">Gepard </t>
  </si>
  <si>
    <t xml:space="preserve">Gangesgavial </t>
  </si>
  <si>
    <t xml:space="preserve">Galapagos-Riesenschildkröte </t>
  </si>
  <si>
    <t xml:space="preserve">Gabelbock </t>
  </si>
  <si>
    <t xml:space="preserve">Flusspferd </t>
  </si>
  <si>
    <t xml:space="preserve">Erdferkel </t>
  </si>
  <si>
    <t>Eisbär</t>
  </si>
  <si>
    <t>Dingo</t>
  </si>
  <si>
    <t>Dall-Schaf</t>
  </si>
  <si>
    <t xml:space="preserve">Chinesisches Schuppentier </t>
  </si>
  <si>
    <t>Brauen-Glattstirnkaiman</t>
  </si>
  <si>
    <t xml:space="preserve">Borneo-Orang-Utan </t>
  </si>
  <si>
    <t xml:space="preserve">Bonobo </t>
  </si>
  <si>
    <t xml:space="preserve">Bongo </t>
  </si>
  <si>
    <t xml:space="preserve">Blauer Pfau </t>
  </si>
  <si>
    <t>Binturong</t>
  </si>
  <si>
    <t xml:space="preserve">Amerikanischer Bison </t>
  </si>
  <si>
    <t xml:space="preserve">Aldabra-Riesenschildkröte </t>
  </si>
  <si>
    <t xml:space="preserve">Afrikanischer Wildhund </t>
  </si>
  <si>
    <t>Nein</t>
  </si>
  <si>
    <t xml:space="preserve">Afrikanischer Strauß </t>
  </si>
  <si>
    <t>1 ♂ / 14 ♀</t>
  </si>
  <si>
    <t>Ja</t>
  </si>
  <si>
    <t>Gemischt               Min/Max Anzahl</t>
  </si>
  <si>
    <t>Kletter-schutz</t>
  </si>
  <si>
    <t>Temperatur</t>
  </si>
  <si>
    <t>Tiefwasser</t>
  </si>
  <si>
    <t>Kletterfläche</t>
  </si>
  <si>
    <t>Wasserfläche</t>
  </si>
  <si>
    <t>Gehegegröße</t>
  </si>
  <si>
    <t>Tragezeit</t>
  </si>
  <si>
    <t>Sterilität</t>
  </si>
  <si>
    <t>Wüste</t>
  </si>
  <si>
    <t>Tundra</t>
  </si>
  <si>
    <t>Tropen</t>
  </si>
  <si>
    <t>Taiga</t>
  </si>
  <si>
    <t>Grasl-and-schaft</t>
  </si>
  <si>
    <t>Gemäß-igt</t>
  </si>
  <si>
    <t>Aquat-isch</t>
  </si>
  <si>
    <t>Süd-/Mittel-amerika</t>
  </si>
  <si>
    <t>Nord-amerika</t>
  </si>
  <si>
    <t>Europa</t>
  </si>
  <si>
    <t>Asien</t>
  </si>
  <si>
    <t>Afrika</t>
  </si>
  <si>
    <t>Zaunanforderungen</t>
  </si>
  <si>
    <t>Tierart</t>
  </si>
  <si>
    <t>GEHEGE</t>
  </si>
  <si>
    <t xml:space="preserve">Östliche Braunschlange </t>
  </si>
  <si>
    <t xml:space="preserve">Todesotter </t>
  </si>
  <si>
    <t xml:space="preserve">Texas-Klapperschlange </t>
  </si>
  <si>
    <t xml:space="preserve">Schrecklicher Pfeilgiftfrosch </t>
  </si>
  <si>
    <t>Rotaugenlaubfrosch</t>
  </si>
  <si>
    <t xml:space="preserve">Riesenbockkäfer </t>
  </si>
  <si>
    <t xml:space="preserve">Puffotter </t>
  </si>
  <si>
    <t xml:space="preserve">Mexikanische Rotknie-Vogelspinne </t>
  </si>
  <si>
    <t xml:space="preserve">Lehmanns Pfeilgiftfrosch </t>
  </si>
  <si>
    <t xml:space="preserve">Indischer Riesenskorpion </t>
  </si>
  <si>
    <t xml:space="preserve">Haariger Wüstenskorpion </t>
  </si>
  <si>
    <t xml:space="preserve">Grüner Leguan </t>
  </si>
  <si>
    <t xml:space="preserve">Grüner Inselleguan </t>
  </si>
  <si>
    <t>Großes Wandelndes Blatt</t>
  </si>
  <si>
    <t xml:space="preserve">Goliathkäfer </t>
  </si>
  <si>
    <t xml:space="preserve">Goliathfrosch </t>
  </si>
  <si>
    <t xml:space="preserve">Goliath-Vogelspinne </t>
  </si>
  <si>
    <t xml:space="preserve">Gila-Krustenechse </t>
  </si>
  <si>
    <t xml:space="preserve">Gelbe Anakonda </t>
  </si>
  <si>
    <t xml:space="preserve">Echte Achatschnecke </t>
  </si>
  <si>
    <t>Diamantschildkröte</t>
  </si>
  <si>
    <t xml:space="preserve">Brasilianischer Riesenläufer </t>
  </si>
  <si>
    <t xml:space="preserve">Brasilianische Wanderspinne </t>
  </si>
  <si>
    <t xml:space="preserve">Brasilianische Riesenvogelspinne </t>
  </si>
  <si>
    <t>Blauzungenskink</t>
  </si>
  <si>
    <t xml:space="preserve">Abgottschlange </t>
  </si>
  <si>
    <t>VIVARIEN</t>
  </si>
  <si>
    <t>X</t>
  </si>
  <si>
    <t>Lebenszyklus</t>
  </si>
  <si>
    <t>Tod</t>
  </si>
  <si>
    <t>3-15</t>
  </si>
  <si>
    <t>3-5</t>
  </si>
  <si>
    <t>Gehegeanforderungen bei minimalen Bedingungen</t>
  </si>
  <si>
    <t>Gehegeanforderungen bei maximalen Bedingungen</t>
  </si>
  <si>
    <t>Berechnung</t>
  </si>
  <si>
    <t>Gewünschte Tieranzahl</t>
  </si>
  <si>
    <t>Gemischt MIN</t>
  </si>
  <si>
    <t>Gemischt MAX</t>
  </si>
  <si>
    <t>Biom(e)</t>
  </si>
  <si>
    <t>WA</t>
  </si>
  <si>
    <t>In der Wildnis ausgestorben</t>
  </si>
  <si>
    <t>Vom Aussterben bedroht</t>
  </si>
  <si>
    <t>Stark gefährdet</t>
  </si>
  <si>
    <t>Gefährdet</t>
  </si>
  <si>
    <t>Potenziell gefährdet</t>
  </si>
  <si>
    <t>Nicht gefährdet</t>
  </si>
  <si>
    <t>Zahm</t>
  </si>
  <si>
    <t>Ungenügende Datengrundlage</t>
  </si>
  <si>
    <t>8-40</t>
  </si>
  <si>
    <t>1-5</t>
  </si>
  <si>
    <t>1 ♂ / 7 ♀</t>
  </si>
  <si>
    <t>1-2</t>
  </si>
  <si>
    <t>GEHEGEANFORDERUNGEN</t>
  </si>
  <si>
    <t>13-42</t>
  </si>
  <si>
    <t>1-3</t>
  </si>
  <si>
    <t>5 ♂ / 5 ♀</t>
  </si>
  <si>
    <t>2-5</t>
  </si>
  <si>
    <t>23-31</t>
  </si>
  <si>
    <t>60-80</t>
  </si>
  <si>
    <t>3-4</t>
  </si>
  <si>
    <t>16-40</t>
  </si>
  <si>
    <t>1-6</t>
  </si>
  <si>
    <t>27 ♂ / 9 ♀</t>
  </si>
  <si>
    <t>2-27</t>
  </si>
  <si>
    <t>16-42</t>
  </si>
  <si>
    <t>1 ♂ / 3 ♀</t>
  </si>
  <si>
    <t>1-4</t>
  </si>
  <si>
    <t>2-8</t>
  </si>
  <si>
    <t>25-30</t>
  </si>
  <si>
    <t>1</t>
  </si>
  <si>
    <t>3</t>
  </si>
  <si>
    <t>1 ♂ / 4 ♀</t>
  </si>
  <si>
    <t>3-42</t>
  </si>
  <si>
    <t>4 ♂ / 16 ♀</t>
  </si>
  <si>
    <t>4-16</t>
  </si>
  <si>
    <t>4</t>
  </si>
  <si>
    <t>2-6</t>
  </si>
  <si>
    <t>25-35</t>
  </si>
  <si>
    <t>50-60</t>
  </si>
  <si>
    <t>2</t>
  </si>
  <si>
    <t>8-42</t>
  </si>
  <si>
    <t>7 ♂ / 7 ♀</t>
  </si>
  <si>
    <t>3-10</t>
  </si>
  <si>
    <t>1 ♂ / 5 ♀</t>
  </si>
  <si>
    <t>23-29</t>
  </si>
  <si>
    <t>50-84</t>
  </si>
  <si>
    <t>2-4</t>
  </si>
  <si>
    <t>6-42</t>
  </si>
  <si>
    <t>1 ♂ / 1 ♀</t>
  </si>
  <si>
    <t>2-7</t>
  </si>
  <si>
    <t>12-42</t>
  </si>
  <si>
    <t>3 ♂ / 3 ♀</t>
  </si>
  <si>
    <t>-12-16</t>
  </si>
  <si>
    <t>1 ♂ / 39 ♀</t>
  </si>
  <si>
    <t>3-40</t>
  </si>
  <si>
    <t>21-32</t>
  </si>
  <si>
    <t>65-80</t>
  </si>
  <si>
    <t>1-8</t>
  </si>
  <si>
    <t>Wasser-fläche</t>
  </si>
  <si>
    <t>Gehege-größe</t>
  </si>
  <si>
    <t>Gruppen-größe</t>
  </si>
  <si>
    <t>12 ♂ / 12 ♀</t>
  </si>
  <si>
    <t>2-12</t>
  </si>
  <si>
    <t>23-36</t>
  </si>
  <si>
    <t>40-60</t>
  </si>
  <si>
    <t>10-38</t>
  </si>
  <si>
    <t>1 ♂ / 29 ♀</t>
  </si>
  <si>
    <t>3-30</t>
  </si>
  <si>
    <t>1 ♂ / 10 ♀</t>
  </si>
  <si>
    <t>1-11</t>
  </si>
  <si>
    <t>14-42</t>
  </si>
  <si>
    <t>1-7</t>
  </si>
  <si>
    <t>2-9</t>
  </si>
  <si>
    <t>80-90</t>
  </si>
  <si>
    <t>2 ♂ / 1 ♀</t>
  </si>
  <si>
    <t>35-42</t>
  </si>
  <si>
    <t>15-25</t>
  </si>
  <si>
    <t>3-6</t>
  </si>
  <si>
    <t>26-32</t>
  </si>
  <si>
    <t>74-86</t>
  </si>
  <si>
    <t>-10-28</t>
  </si>
  <si>
    <t>Gehege begehbar?</t>
  </si>
  <si>
    <t>Sozialverhalten</t>
  </si>
  <si>
    <t>2-29</t>
  </si>
  <si>
    <t>10 ♂ / 10 ♀</t>
  </si>
  <si>
    <t>1-10</t>
  </si>
  <si>
    <t>22-30</t>
  </si>
  <si>
    <t>26-31</t>
  </si>
  <si>
    <t>25-37</t>
  </si>
  <si>
    <t>20-35</t>
  </si>
  <si>
    <t>21-30</t>
  </si>
  <si>
    <t>65-85</t>
  </si>
  <si>
    <t>Luftfeuchtig-keit</t>
  </si>
  <si>
    <t>-10-22</t>
  </si>
  <si>
    <t>-15-29</t>
  </si>
  <si>
    <t>17 ♂ / 33 ♀</t>
  </si>
  <si>
    <t>8-50</t>
  </si>
  <si>
    <t>10-42</t>
  </si>
  <si>
    <t>-15-26</t>
  </si>
  <si>
    <t>2 ♂ / 8 ♀</t>
  </si>
  <si>
    <t>0-29</t>
  </si>
  <si>
    <t>-20-17</t>
  </si>
  <si>
    <t>500 ♂ / 500 ♀</t>
  </si>
  <si>
    <t>6-500</t>
  </si>
  <si>
    <t>Unbekannt</t>
  </si>
  <si>
    <t>-5-40</t>
  </si>
  <si>
    <t>30 ♂ / 30 ♀</t>
  </si>
  <si>
    <t>2-30</t>
  </si>
  <si>
    <t>1 ♂ / 9 ♀</t>
  </si>
  <si>
    <t>5</t>
  </si>
  <si>
    <t>5-10</t>
  </si>
  <si>
    <t>17-42</t>
  </si>
  <si>
    <t>9 ♂ / 18 ♀</t>
  </si>
  <si>
    <t>3-12</t>
  </si>
  <si>
    <t>8 ♂ / 8 ♀</t>
  </si>
  <si>
    <t>4 ♂ / 8 ♀</t>
  </si>
  <si>
    <t>1 ♂ / 2 ♀</t>
  </si>
  <si>
    <t>2-10</t>
  </si>
  <si>
    <t>13-40</t>
  </si>
  <si>
    <t>1 ♂ / 11 ♀</t>
  </si>
  <si>
    <t>9 ♂ / 9 ♀</t>
  </si>
  <si>
    <t>10-500</t>
  </si>
  <si>
    <t>25 ♂ / 13 ♀</t>
  </si>
  <si>
    <t>2-25</t>
  </si>
  <si>
    <t>4-7</t>
  </si>
  <si>
    <t>8-43</t>
  </si>
  <si>
    <t>1 ♂ / 34 ♀</t>
  </si>
  <si>
    <t>3-35</t>
  </si>
  <si>
    <t>24-30</t>
  </si>
  <si>
    <t>1 ♂ / 35 ♀</t>
  </si>
  <si>
    <t>3-36</t>
  </si>
  <si>
    <t>-8-29</t>
  </si>
  <si>
    <t>2-3</t>
  </si>
  <si>
    <t>2-11</t>
  </si>
  <si>
    <t>2 ♂ / 2 ♀</t>
  </si>
  <si>
    <t>1 ♂ / 6 ♀</t>
  </si>
  <si>
    <t>13 ♂ / 39 ♀</t>
  </si>
  <si>
    <t>1 ♂ / 31 ♀</t>
  </si>
  <si>
    <t>7-16</t>
  </si>
  <si>
    <t>7-32</t>
  </si>
  <si>
    <t>5-15</t>
  </si>
  <si>
    <t>60-85</t>
  </si>
  <si>
    <t>Wert, um den es sich pro weiterem Tier erhöht</t>
  </si>
  <si>
    <t>DLC</t>
  </si>
  <si>
    <t>Erdmännchen</t>
  </si>
  <si>
    <t>Brillenpinguin</t>
  </si>
  <si>
    <t>Fennek</t>
  </si>
  <si>
    <t>Breitmaulnashorn</t>
  </si>
  <si>
    <t>Heiliger Pillendreher</t>
  </si>
  <si>
    <t>13-38</t>
  </si>
  <si>
    <t>Nachwuchs pro Paarung</t>
  </si>
  <si>
    <t>20 ♂ / 20 ♀</t>
  </si>
  <si>
    <t>3-43</t>
  </si>
  <si>
    <t>6 ♂ / 6 ♀</t>
  </si>
  <si>
    <t>1-25</t>
  </si>
  <si>
    <t>15-20</t>
  </si>
  <si>
    <t xml:space="preserve">Afrikanischer Steppenelefant </t>
  </si>
  <si>
    <t>Alpensteinbock</t>
  </si>
  <si>
    <t>Amerikanischer Biber</t>
  </si>
  <si>
    <t>Nordsulawesisches Babirusa</t>
  </si>
  <si>
    <t>Damhirsch</t>
  </si>
  <si>
    <t>Elch</t>
  </si>
  <si>
    <t>Eurasischer Luchs</t>
  </si>
  <si>
    <t>Europäischer Dachs</t>
  </si>
  <si>
    <t>Feuersalamander</t>
  </si>
  <si>
    <t>Kalifornischer Seelöwe</t>
  </si>
  <si>
    <t>Mississippi-Alligator</t>
  </si>
  <si>
    <t>Nordamerikanischer Ochsenfrosch</t>
  </si>
  <si>
    <t>Polarfuchs</t>
  </si>
  <si>
    <t>Puma</t>
  </si>
  <si>
    <t>Schwarzschwanz-Präriehund</t>
  </si>
  <si>
    <t>Schwarzweißer Vari</t>
  </si>
  <si>
    <t>Capybara</t>
  </si>
  <si>
    <t>Schnabeltier</t>
  </si>
  <si>
    <t>Zwergotter</t>
  </si>
  <si>
    <t>Krokodilkaiman</t>
  </si>
  <si>
    <t>Weißnacken-Moorantilope</t>
  </si>
  <si>
    <t>Wilder Wasserbüffel</t>
  </si>
  <si>
    <t>Mandschurenkranich</t>
  </si>
  <si>
    <t>Donau-Kammmolch</t>
  </si>
  <si>
    <t>-7-28</t>
  </si>
  <si>
    <t>1 ♂ / 19 ♀</t>
  </si>
  <si>
    <t>2-20</t>
  </si>
  <si>
    <t>-7-38</t>
  </si>
  <si>
    <t>-16-40</t>
  </si>
  <si>
    <t>-4-38</t>
  </si>
  <si>
    <t>-20-16</t>
  </si>
  <si>
    <t>-22-20</t>
  </si>
  <si>
    <t>-13-38</t>
  </si>
  <si>
    <t>2-43</t>
  </si>
  <si>
    <t>-4-31</t>
  </si>
  <si>
    <t>6-35</t>
  </si>
  <si>
    <t>-50-28</t>
  </si>
  <si>
    <t>-7-43</t>
  </si>
  <si>
    <t>-7-42</t>
  </si>
  <si>
    <t>-40-44</t>
  </si>
  <si>
    <t>1 ♂ / 15 ♀</t>
  </si>
  <si>
    <t>5 ♂ / 15 ♀</t>
  </si>
  <si>
    <t>3-8</t>
  </si>
  <si>
    <t>2-16</t>
  </si>
  <si>
    <t>20</t>
  </si>
  <si>
    <t xml:space="preserve">Australische Großschabe </t>
  </si>
  <si>
    <t>15-24</t>
  </si>
  <si>
    <t>60-75</t>
  </si>
  <si>
    <t>9 ♂ / 19 ♀</t>
  </si>
  <si>
    <t>4-20</t>
  </si>
  <si>
    <t>12-25</t>
  </si>
  <si>
    <t>55-75</t>
  </si>
  <si>
    <t>2,5</t>
  </si>
  <si>
    <t>-13-31</t>
  </si>
  <si>
    <t>79 ♂ / 79 ♀</t>
  </si>
  <si>
    <t>4-80</t>
  </si>
  <si>
    <t>-4-42</t>
  </si>
  <si>
    <t>1 ♂ / 49 ♀</t>
  </si>
  <si>
    <t>3-50</t>
  </si>
  <si>
    <t>15 ♂ / 15 ♀</t>
  </si>
  <si>
    <t>Nacktnasenwombat</t>
  </si>
  <si>
    <t>Przewalski-Pferd</t>
  </si>
  <si>
    <t>Rotfuchs</t>
  </si>
  <si>
    <t>Siamang</t>
  </si>
  <si>
    <t>Streifenskunk</t>
  </si>
  <si>
    <t>Säbelantilope</t>
  </si>
  <si>
    <t>Waschbär</t>
  </si>
  <si>
    <t>Nilflughund</t>
  </si>
  <si>
    <t>Axolotl</t>
  </si>
  <si>
    <t>Amurleopard</t>
  </si>
  <si>
    <t>-15-31</t>
  </si>
  <si>
    <t>-</t>
  </si>
  <si>
    <t>-9-43</t>
  </si>
  <si>
    <t>-13-43</t>
  </si>
  <si>
    <t>13 ♂ / 13 ♀</t>
  </si>
  <si>
    <t>1-14</t>
  </si>
  <si>
    <t>40</t>
  </si>
  <si>
    <t>3-48</t>
  </si>
  <si>
    <t>-9-42</t>
  </si>
  <si>
    <t>2 ♂ / 3 ♀</t>
  </si>
  <si>
    <t>6,00 m ↔
2,00 m ↕</t>
  </si>
  <si>
    <t>3,00 m ↔
1,00 m ↕</t>
  </si>
  <si>
    <t>Rothirsch</t>
  </si>
  <si>
    <t>-10-38</t>
  </si>
  <si>
    <t>1 ♂ / 8 ♀</t>
  </si>
  <si>
    <t>Emu</t>
  </si>
  <si>
    <t>Karakal</t>
  </si>
  <si>
    <t>0-43</t>
  </si>
  <si>
    <t>Mähnenwolf</t>
  </si>
  <si>
    <t>Neunbinden-Gürteltier</t>
  </si>
  <si>
    <t>-5-43</t>
  </si>
  <si>
    <t>Rotnackenwallaby</t>
  </si>
  <si>
    <t>-4-43</t>
  </si>
  <si>
    <t>29 ♂ / 29 ♀</t>
  </si>
  <si>
    <t>1-30</t>
  </si>
  <si>
    <t>Streifengnu</t>
  </si>
  <si>
    <t>Streifenhyäne</t>
  </si>
  <si>
    <t>4-9</t>
  </si>
  <si>
    <t>Blauer Morphofalter</t>
  </si>
  <si>
    <t>21-35</t>
  </si>
  <si>
    <t>1-90</t>
  </si>
  <si>
    <t>Monarchfalter</t>
  </si>
  <si>
    <t>♂: 2 Jahr(e)
♀: 3 Jahr(e)</t>
  </si>
  <si>
    <t>♂: 2-3 Jahr(e)
♀: 8-10 Jahr(e)</t>
  </si>
  <si>
    <t>♂: 5 Jahr(e)
♀: 3 Jahr(e)</t>
  </si>
  <si>
    <t>♂: 3-4 Jahr(e)
♀: 3-5 Jahr(e)</t>
  </si>
  <si>
    <t>♂: 4 Jahr(e)
♀: 6-7 Jahr(e)</t>
  </si>
  <si>
    <t>♂: 2 Jahr(e)
♀: 3,5 Jahr(e)</t>
  </si>
  <si>
    <t>Schwalbenschwanz</t>
  </si>
  <si>
    <t>Tagpfauenauge</t>
  </si>
  <si>
    <t>18-24</t>
  </si>
  <si>
    <t>18-25</t>
  </si>
  <si>
    <t>Wolkenloser Schwefel</t>
  </si>
  <si>
    <t>Wert für 2 Tiere</t>
  </si>
  <si>
    <t>Wüsten-Hornviper</t>
  </si>
  <si>
    <t>Bindenwaran</t>
  </si>
  <si>
    <t>Braunkehl-Faultier</t>
  </si>
  <si>
    <t>Brillenflughund</t>
  </si>
  <si>
    <t>Damagazelle</t>
  </si>
  <si>
    <t>3-20</t>
  </si>
  <si>
    <t>Dromedar-Kamel</t>
  </si>
  <si>
    <t>-6-44</t>
  </si>
  <si>
    <t>1 ♂ / 12 ♀</t>
  </si>
  <si>
    <t>2-13</t>
  </si>
  <si>
    <t>Fossa</t>
  </si>
  <si>
    <t>Mendesantilope</t>
  </si>
  <si>
    <t>3-45</t>
  </si>
  <si>
    <t>1 ♂ / 24 ♀</t>
  </si>
  <si>
    <t>Nördlicher Streifenkiwi</t>
  </si>
  <si>
    <t>-4-35</t>
  </si>
  <si>
    <t>Pinselohrschwein</t>
  </si>
  <si>
    <t>Quokka</t>
  </si>
  <si>
    <t>23 ♂ / 23 ♀</t>
  </si>
  <si>
    <t>1-24</t>
  </si>
  <si>
    <t>Sandkatze</t>
  </si>
  <si>
    <t>Somali-Wildesel</t>
  </si>
  <si>
    <t>3 ♂ / 5 ♀</t>
  </si>
  <si>
    <t>Spitzmaulnashorn</t>
  </si>
  <si>
    <t>Tasmanischer Teufel</t>
  </si>
  <si>
    <t>4 ♂ / 4 ♀</t>
  </si>
  <si>
    <t>Weißhandgibbon</t>
  </si>
  <si>
    <t>Westafrikanisches Stachelschwein</t>
  </si>
  <si>
    <t>Zwergpinguin</t>
  </si>
  <si>
    <t>Kletter-fläche</t>
  </si>
  <si>
    <t>Tiefwasser-fläche</t>
  </si>
  <si>
    <t>Zeitraum zwichen Geburten</t>
  </si>
  <si>
    <t>Geschlechts-
reife</t>
  </si>
  <si>
    <t>Ozeanien</t>
  </si>
  <si>
    <t>Nur 1 Paarung</t>
  </si>
  <si>
    <t>5-35</t>
  </si>
  <si>
    <t>15</t>
  </si>
  <si>
    <t>10-12</t>
  </si>
  <si>
    <t>12-18</t>
  </si>
  <si>
    <t>1,5</t>
  </si>
  <si>
    <t>21-28</t>
  </si>
  <si>
    <t>31</t>
  </si>
  <si>
    <t>8-44</t>
  </si>
  <si>
    <t>Zaun-stärke</t>
  </si>
  <si>
    <t>Zaun-
höhe</t>
  </si>
  <si>
    <t>Wasser-graben als Zaun</t>
  </si>
  <si>
    <t>Gefähr-dungs-level</t>
  </si>
  <si>
    <t>Lebenserwartung</t>
  </si>
  <si>
    <t>♂</t>
  </si>
  <si>
    <t>♀</t>
  </si>
  <si>
    <r>
      <t xml:space="preserve">Nur
</t>
    </r>
    <r>
      <rPr>
        <i/>
        <sz val="10"/>
        <color rgb="FF000000"/>
        <rFont val="Arial"/>
        <family val="2"/>
      </rPr>
      <t>♂</t>
    </r>
  </si>
  <si>
    <r>
      <t xml:space="preserve">Nur
</t>
    </r>
    <r>
      <rPr>
        <i/>
        <sz val="10"/>
        <color rgb="FF000000"/>
        <rFont val="Arial"/>
        <family val="2"/>
      </rPr>
      <t>♀</t>
    </r>
  </si>
  <si>
    <t>Vivarien-
anforderungen</t>
  </si>
  <si>
    <t>Kontinent(e)</t>
  </si>
  <si>
    <t>Aquatisch</t>
  </si>
  <si>
    <t>Gemäßigt</t>
  </si>
  <si>
    <t>Grasland-schaft</t>
  </si>
  <si>
    <t>-40-22</t>
  </si>
  <si>
    <t>-15-28</t>
  </si>
  <si>
    <t>6 ♂ / 1 ♀</t>
  </si>
  <si>
    <t>Gemischt
Verhältnis</t>
  </si>
  <si>
    <t>Wisent</t>
  </si>
  <si>
    <t>Wildschwein</t>
  </si>
  <si>
    <t>Vielfraß</t>
  </si>
  <si>
    <t>Takin</t>
  </si>
  <si>
    <t>Saiga</t>
  </si>
  <si>
    <t>Lippenbär</t>
  </si>
  <si>
    <t>Höckerschwan</t>
  </si>
  <si>
    <t>Griechische Landschildkröte</t>
  </si>
  <si>
    <t>Halsbandpekari</t>
  </si>
  <si>
    <t>1-16</t>
  </si>
  <si>
    <t>12</t>
  </si>
  <si>
    <t>14 ♂ / 14 ♀</t>
  </si>
  <si>
    <t>-5-34</t>
  </si>
  <si>
    <t>25 ♂ / 25 ♀</t>
  </si>
  <si>
    <t>2-50</t>
  </si>
  <si>
    <t>-10-43</t>
  </si>
  <si>
    <t>4-11</t>
  </si>
  <si>
    <t>-10-31</t>
  </si>
  <si>
    <t>-13-28</t>
  </si>
  <si>
    <t>3-9</t>
  </si>
  <si>
    <t>Afrikanischer Leopard</t>
  </si>
  <si>
    <t>Alpaka</t>
  </si>
  <si>
    <t>-8-38</t>
  </si>
  <si>
    <t>Amerikanischer  Standard-Esel</t>
  </si>
  <si>
    <t>Brillenbär</t>
  </si>
  <si>
    <t>-13-42</t>
  </si>
  <si>
    <t>Coquerel-Sifaka</t>
  </si>
  <si>
    <t>15-42</t>
  </si>
  <si>
    <t>Hausziege</t>
  </si>
  <si>
    <t>2-15</t>
  </si>
  <si>
    <t>Hill-Radnor-Schaf</t>
  </si>
  <si>
    <t>5 ♂ / 49 ♀</t>
  </si>
  <si>
    <t>Hochlandrind</t>
  </si>
  <si>
    <t>Kirk-Dikdik</t>
  </si>
  <si>
    <t>Mantelpavian</t>
  </si>
  <si>
    <t>30 ♂ / 90 ♀</t>
  </si>
  <si>
    <t>6-30</t>
  </si>
  <si>
    <t>Pallaskatze</t>
  </si>
  <si>
    <t>-44-36</t>
  </si>
  <si>
    <t>Spornschildkröte</t>
  </si>
  <si>
    <t>3 ♂ / 7 ♀</t>
  </si>
  <si>
    <t>Sussex-Huhn</t>
  </si>
  <si>
    <t>8 ♂ / 79 ♀</t>
  </si>
  <si>
    <t>2-80</t>
  </si>
  <si>
    <t>Tamworth Schwein</t>
  </si>
  <si>
    <t>Schraubenziege</t>
  </si>
  <si>
    <t>-20-28</t>
  </si>
  <si>
    <t>Ja+</t>
  </si>
  <si>
    <t>Minimale Gehegevoraussetzungen                                                    (Fläche für 1 Tier)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</si>
</sst>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@\ &quot;♀&quot;"/>
    <numFmt numFmtId="165" formatCode="@\ &quot;♂&quot;"/>
    <numFmt numFmtId="166" formatCode="&quot;Grad&quot;\ General"/>
    <numFmt numFmtId="167" formatCode="0.00\ &quot;m&quot;"/>
    <numFmt numFmtId="168" formatCode="General\ &quot;Jahre&quot;"/>
    <numFmt numFmtId="169" formatCode="#,##0\ &quot;m²&quot;"/>
    <numFmt numFmtId="170" formatCode="@&quot; °C&quot;"/>
    <numFmt numFmtId="171" formatCode="@\ &quot;%&quot;"/>
    <numFmt numFmtId="172" formatCode="@\ &quot;°C&quot;"/>
    <numFmt numFmtId="173" formatCode="General\ &quot;Jahr(e)&quot;"/>
    <numFmt numFmtId="174" formatCode="General\ &quot;Monat(e)&quot;"/>
    <numFmt numFmtId="175" formatCode="\ @\ &quot;Jahr(e)&quot;"/>
    <numFmt numFmtId="176" formatCode="\ @\ &quot;Monat(e)&quot;"/>
  </numFmts>
  <fonts count="12" x14ac:knownFonts="1"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8"/>
      <color rgb="FF000000"/>
      <name val="Arial"/>
      <family val="2"/>
    </font>
    <font>
      <i/>
      <sz val="7"/>
      <color rgb="FF000000"/>
      <name val="Arial"/>
      <family val="2"/>
    </font>
    <font>
      <b/>
      <sz val="10"/>
      <color rgb="FF000000"/>
      <name val="Arial"/>
      <family val="2"/>
    </font>
    <font>
      <b/>
      <sz val="25"/>
      <color theme="1"/>
      <name val="Arial"/>
      <family val="2"/>
    </font>
    <font>
      <b/>
      <sz val="9"/>
      <color indexed="81"/>
      <name val="Segoe UI"/>
      <family val="2"/>
    </font>
    <font>
      <sz val="10"/>
      <color theme="1"/>
      <name val="Arial"/>
      <family val="2"/>
    </font>
    <font>
      <sz val="9"/>
      <color indexed="81"/>
      <name val="Segoe UI"/>
      <family val="2"/>
    </font>
    <font>
      <i/>
      <sz val="10"/>
      <color rgb="FF000000"/>
      <name val="Arial"/>
      <family val="2"/>
    </font>
    <font>
      <i/>
      <sz val="12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7E13"/>
        <bgColor rgb="FF000000"/>
      </patternFill>
    </fill>
    <fill>
      <patternFill patternType="solid">
        <fgColor rgb="FFD3313D"/>
        <bgColor rgb="FF000000"/>
      </patternFill>
    </fill>
    <fill>
      <patternFill patternType="solid">
        <fgColor rgb="FF098B6D"/>
        <bgColor rgb="FF000000"/>
      </patternFill>
    </fill>
    <fill>
      <patternFill patternType="solid">
        <fgColor rgb="FFFFB612"/>
        <bgColor rgb="FF000000"/>
      </patternFill>
    </fill>
    <fill>
      <patternFill patternType="solid">
        <fgColor rgb="FF066C53"/>
        <bgColor rgb="FF000000"/>
      </patternFill>
    </fill>
    <fill>
      <patternFill patternType="solid">
        <fgColor rgb="FF71BC4A"/>
        <bgColor rgb="FF000000"/>
      </patternFill>
    </fill>
    <fill>
      <patternFill patternType="solid">
        <fgColor rgb="FF6C8591"/>
        <bgColor rgb="FF000000"/>
      </patternFill>
    </fill>
    <fill>
      <patternFill patternType="solid">
        <fgColor rgb="FFFFCC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1A1A1A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3BFFCC"/>
        <bgColor indexed="64"/>
      </patternFill>
    </fill>
    <fill>
      <patternFill patternType="solid">
        <fgColor rgb="FFAFAFFF"/>
        <bgColor indexed="64"/>
      </patternFill>
    </fill>
    <fill>
      <patternFill patternType="solid">
        <fgColor rgb="FFFFE2C5"/>
        <bgColor indexed="64"/>
      </patternFill>
    </fill>
    <fill>
      <patternFill patternType="solid">
        <fgColor rgb="FFD4F2D2"/>
        <bgColor indexed="64"/>
      </patternFill>
    </fill>
    <fill>
      <patternFill patternType="solid">
        <fgColor rgb="FFA2E39D"/>
        <bgColor indexed="64"/>
      </patternFill>
    </fill>
    <fill>
      <patternFill patternType="solid">
        <fgColor rgb="FFFFCDE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D785AE"/>
        <bgColor rgb="FF000000"/>
      </patternFill>
    </fill>
    <fill>
      <patternFill patternType="solid">
        <fgColor rgb="FFD785AE"/>
        <bgColor indexed="64"/>
      </patternFill>
    </fill>
    <fill>
      <patternFill patternType="solid">
        <fgColor rgb="FFEECADC"/>
        <bgColor rgb="FF000000"/>
      </patternFill>
    </fill>
    <fill>
      <patternFill patternType="solid">
        <fgColor rgb="FFA5A5C3"/>
        <bgColor rgb="FF000000"/>
      </patternFill>
    </fill>
    <fill>
      <patternFill patternType="solid">
        <fgColor rgb="FFCACADC"/>
        <bgColor rgb="FF000000"/>
      </patternFill>
    </fill>
    <fill>
      <patternFill patternType="solid">
        <fgColor rgb="FFF9EBF2"/>
        <bgColor indexed="64"/>
      </patternFill>
    </fill>
    <fill>
      <patternFill patternType="solid">
        <fgColor rgb="FFF8DE80"/>
        <bgColor indexed="64"/>
      </patternFill>
    </fill>
    <fill>
      <patternFill patternType="solid">
        <fgColor rgb="FF0070C0"/>
        <bgColor rgb="FF000000"/>
      </patternFill>
    </fill>
  </fills>
  <borders count="81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5">
    <xf numFmtId="0" fontId="0" fillId="0" borderId="0" xfId="0"/>
    <xf numFmtId="165" fontId="1" fillId="2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6" fontId="1" fillId="3" borderId="2" xfId="0" applyNumberFormat="1" applyFont="1" applyFill="1" applyBorder="1" applyAlignment="1">
      <alignment horizontal="center" vertical="center"/>
    </xf>
    <xf numFmtId="168" fontId="1" fillId="2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9" fontId="1" fillId="3" borderId="3" xfId="0" applyNumberFormat="1" applyFont="1" applyFill="1" applyBorder="1" applyAlignment="1">
      <alignment horizontal="center" vertical="center"/>
    </xf>
    <xf numFmtId="169" fontId="1" fillId="3" borderId="2" xfId="0" applyNumberFormat="1" applyFont="1" applyFill="1" applyBorder="1" applyAlignment="1">
      <alignment horizontal="center" vertical="center"/>
    </xf>
    <xf numFmtId="170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49" fontId="2" fillId="10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172" fontId="1" fillId="3" borderId="3" xfId="0" applyNumberFormat="1" applyFont="1" applyFill="1" applyBorder="1" applyAlignment="1">
      <alignment horizontal="center" vertical="center"/>
    </xf>
    <xf numFmtId="171" fontId="1" fillId="3" borderId="1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 wrapText="1"/>
    </xf>
    <xf numFmtId="166" fontId="1" fillId="3" borderId="3" xfId="0" applyNumberFormat="1" applyFont="1" applyFill="1" applyBorder="1" applyAlignment="1">
      <alignment horizontal="center" vertical="center"/>
    </xf>
    <xf numFmtId="167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9" fontId="1" fillId="0" borderId="3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1" fillId="31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168" fontId="1" fillId="2" borderId="20" xfId="0" applyNumberFormat="1" applyFont="1" applyFill="1" applyBorder="1" applyAlignment="1">
      <alignment horizontal="center" vertical="center" wrapText="1"/>
    </xf>
    <xf numFmtId="49" fontId="1" fillId="2" borderId="20" xfId="0" applyNumberFormat="1" applyFont="1" applyFill="1" applyBorder="1" applyAlignment="1">
      <alignment horizontal="center" vertical="center" wrapText="1"/>
    </xf>
    <xf numFmtId="172" fontId="1" fillId="3" borderId="19" xfId="0" applyNumberFormat="1" applyFont="1" applyFill="1" applyBorder="1" applyAlignment="1">
      <alignment horizontal="center" vertical="center"/>
    </xf>
    <xf numFmtId="171" fontId="1" fillId="3" borderId="21" xfId="0" applyNumberFormat="1" applyFont="1" applyFill="1" applyBorder="1" applyAlignment="1">
      <alignment horizontal="center" vertical="center"/>
    </xf>
    <xf numFmtId="49" fontId="1" fillId="2" borderId="30" xfId="0" applyNumberFormat="1" applyFont="1" applyFill="1" applyBorder="1" applyAlignment="1">
      <alignment horizontal="center" vertical="center" wrapText="1"/>
    </xf>
    <xf numFmtId="0" fontId="5" fillId="33" borderId="2" xfId="0" applyFont="1" applyFill="1" applyBorder="1" applyAlignment="1">
      <alignment horizontal="center" vertical="center" wrapText="1"/>
    </xf>
    <xf numFmtId="0" fontId="0" fillId="3" borderId="0" xfId="0" applyFill="1"/>
    <xf numFmtId="173" fontId="1" fillId="2" borderId="3" xfId="0" applyNumberFormat="1" applyFont="1" applyFill="1" applyBorder="1" applyAlignment="1">
      <alignment horizontal="center" vertical="center" wrapText="1"/>
    </xf>
    <xf numFmtId="173" fontId="1" fillId="2" borderId="2" xfId="0" applyNumberFormat="1" applyFont="1" applyFill="1" applyBorder="1" applyAlignment="1">
      <alignment horizontal="center" vertical="center" wrapText="1"/>
    </xf>
    <xf numFmtId="174" fontId="1" fillId="2" borderId="2" xfId="0" applyNumberFormat="1" applyFont="1" applyFill="1" applyBorder="1" applyAlignment="1">
      <alignment horizontal="center" vertical="center" wrapText="1"/>
    </xf>
    <xf numFmtId="174" fontId="1" fillId="2" borderId="18" xfId="0" applyNumberFormat="1" applyFont="1" applyFill="1" applyBorder="1" applyAlignment="1">
      <alignment horizontal="center" vertical="center" wrapText="1"/>
    </xf>
    <xf numFmtId="174" fontId="1" fillId="2" borderId="20" xfId="0" applyNumberFormat="1" applyFont="1" applyFill="1" applyBorder="1" applyAlignment="1">
      <alignment horizontal="center" vertical="center" wrapText="1"/>
    </xf>
    <xf numFmtId="174" fontId="1" fillId="2" borderId="22" xfId="0" applyNumberFormat="1" applyFont="1" applyFill="1" applyBorder="1" applyAlignment="1">
      <alignment horizontal="center" vertical="center" wrapText="1"/>
    </xf>
    <xf numFmtId="175" fontId="1" fillId="2" borderId="2" xfId="0" applyNumberFormat="1" applyFont="1" applyFill="1" applyBorder="1" applyAlignment="1">
      <alignment horizontal="center" vertical="center" wrapText="1"/>
    </xf>
    <xf numFmtId="175" fontId="1" fillId="2" borderId="37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72" fontId="1" fillId="3" borderId="6" xfId="0" applyNumberFormat="1" applyFont="1" applyFill="1" applyBorder="1" applyAlignment="1">
      <alignment horizontal="center" vertical="center"/>
    </xf>
    <xf numFmtId="171" fontId="1" fillId="3" borderId="4" xfId="0" applyNumberFormat="1" applyFont="1" applyFill="1" applyBorder="1" applyAlignment="1">
      <alignment horizontal="center" vertical="center"/>
    </xf>
    <xf numFmtId="49" fontId="1" fillId="2" borderId="38" xfId="0" applyNumberFormat="1" applyFont="1" applyFill="1" applyBorder="1" applyAlignment="1">
      <alignment horizontal="center" vertical="center" wrapText="1"/>
    </xf>
    <xf numFmtId="168" fontId="1" fillId="2" borderId="5" xfId="0" applyNumberFormat="1" applyFont="1" applyFill="1" applyBorder="1" applyAlignment="1">
      <alignment horizontal="center" vertical="center" wrapText="1"/>
    </xf>
    <xf numFmtId="174" fontId="1" fillId="2" borderId="5" xfId="0" applyNumberFormat="1" applyFont="1" applyFill="1" applyBorder="1" applyAlignment="1">
      <alignment horizontal="center" vertical="center" wrapText="1"/>
    </xf>
    <xf numFmtId="174" fontId="1" fillId="2" borderId="39" xfId="0" applyNumberFormat="1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49" fontId="2" fillId="2" borderId="32" xfId="0" applyNumberFormat="1" applyFont="1" applyFill="1" applyBorder="1" applyAlignment="1">
      <alignment horizontal="center" vertical="center" wrapText="1"/>
    </xf>
    <xf numFmtId="0" fontId="2" fillId="2" borderId="17" xfId="0" quotePrefix="1" applyFont="1" applyFill="1" applyBorder="1" applyAlignment="1">
      <alignment horizontal="center" vertical="center" wrapText="1"/>
    </xf>
    <xf numFmtId="169" fontId="1" fillId="3" borderId="19" xfId="0" applyNumberFormat="1" applyFont="1" applyFill="1" applyBorder="1" applyAlignment="1">
      <alignment horizontal="center" vertical="center"/>
    </xf>
    <xf numFmtId="169" fontId="1" fillId="3" borderId="20" xfId="0" applyNumberFormat="1" applyFont="1" applyFill="1" applyBorder="1" applyAlignment="1">
      <alignment horizontal="center" vertical="center"/>
    </xf>
    <xf numFmtId="170" fontId="1" fillId="3" borderId="21" xfId="0" applyNumberFormat="1" applyFont="1" applyFill="1" applyBorder="1" applyAlignment="1">
      <alignment horizontal="center" vertical="center"/>
    </xf>
    <xf numFmtId="166" fontId="1" fillId="3" borderId="19" xfId="0" applyNumberFormat="1" applyFont="1" applyFill="1" applyBorder="1" applyAlignment="1">
      <alignment horizontal="center" vertical="center"/>
    </xf>
    <xf numFmtId="166" fontId="1" fillId="3" borderId="20" xfId="0" applyNumberFormat="1" applyFont="1" applyFill="1" applyBorder="1" applyAlignment="1">
      <alignment horizontal="center" vertical="center"/>
    </xf>
    <xf numFmtId="167" fontId="1" fillId="3" borderId="20" xfId="0" applyNumberFormat="1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65" fontId="1" fillId="2" borderId="20" xfId="0" applyNumberFormat="1" applyFont="1" applyFill="1" applyBorder="1" applyAlignment="1">
      <alignment horizontal="center" vertical="center"/>
    </xf>
    <xf numFmtId="173" fontId="1" fillId="2" borderId="19" xfId="0" applyNumberFormat="1" applyFont="1" applyFill="1" applyBorder="1" applyAlignment="1">
      <alignment horizontal="center" vertical="center" wrapText="1"/>
    </xf>
    <xf numFmtId="173" fontId="1" fillId="2" borderId="20" xfId="0" applyNumberFormat="1" applyFont="1" applyFill="1" applyBorder="1" applyAlignment="1">
      <alignment horizontal="center" vertical="center" wrapText="1"/>
    </xf>
    <xf numFmtId="49" fontId="1" fillId="2" borderId="20" xfId="0" applyNumberFormat="1" applyFont="1" applyFill="1" applyBorder="1" applyAlignment="1">
      <alignment horizontal="center" vertical="center"/>
    </xf>
    <xf numFmtId="169" fontId="1" fillId="31" borderId="18" xfId="0" applyNumberFormat="1" applyFont="1" applyFill="1" applyBorder="1" applyAlignment="1">
      <alignment horizontal="center" vertical="center"/>
    </xf>
    <xf numFmtId="0" fontId="3" fillId="23" borderId="11" xfId="0" applyFont="1" applyFill="1" applyBorder="1" applyAlignment="1">
      <alignment horizontal="center" vertical="center" wrapText="1"/>
    </xf>
    <xf numFmtId="169" fontId="1" fillId="23" borderId="11" xfId="0" applyNumberFormat="1" applyFont="1" applyFill="1" applyBorder="1" applyAlignment="1">
      <alignment horizontal="center" vertical="center"/>
    </xf>
    <xf numFmtId="169" fontId="1" fillId="0" borderId="19" xfId="0" applyNumberFormat="1" applyFont="1" applyBorder="1" applyAlignment="1">
      <alignment horizontal="center" vertical="center"/>
    </xf>
    <xf numFmtId="169" fontId="1" fillId="0" borderId="20" xfId="0" applyNumberFormat="1" applyFont="1" applyBorder="1" applyAlignment="1">
      <alignment horizontal="center" vertical="center"/>
    </xf>
    <xf numFmtId="169" fontId="1" fillId="0" borderId="21" xfId="0" applyNumberFormat="1" applyFont="1" applyBorder="1" applyAlignment="1">
      <alignment horizontal="center" vertical="center"/>
    </xf>
    <xf numFmtId="169" fontId="1" fillId="23" borderId="44" xfId="0" applyNumberFormat="1" applyFont="1" applyFill="1" applyBorder="1" applyAlignment="1">
      <alignment horizontal="center" vertical="center"/>
    </xf>
    <xf numFmtId="169" fontId="1" fillId="31" borderId="20" xfId="0" applyNumberFormat="1" applyFont="1" applyFill="1" applyBorder="1" applyAlignment="1">
      <alignment horizontal="center" vertical="center"/>
    </xf>
    <xf numFmtId="169" fontId="1" fillId="31" borderId="22" xfId="0" applyNumberFormat="1" applyFont="1" applyFill="1" applyBorder="1" applyAlignment="1">
      <alignment horizontal="center" vertical="center"/>
    </xf>
    <xf numFmtId="0" fontId="1" fillId="32" borderId="3" xfId="0" applyFont="1" applyFill="1" applyBorder="1" applyAlignment="1" applyProtection="1">
      <alignment horizontal="center" vertical="center" wrapText="1"/>
      <protection locked="0"/>
    </xf>
    <xf numFmtId="0" fontId="1" fillId="32" borderId="19" xfId="0" applyFont="1" applyFill="1" applyBorder="1" applyAlignment="1" applyProtection="1">
      <alignment horizontal="center" vertical="center" wrapText="1"/>
      <protection locked="0"/>
    </xf>
    <xf numFmtId="0" fontId="5" fillId="29" borderId="45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2" fillId="2" borderId="29" xfId="0" applyNumberFormat="1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vertical="center" wrapText="1"/>
    </xf>
    <xf numFmtId="0" fontId="8" fillId="3" borderId="47" xfId="0" applyFont="1" applyFill="1" applyBorder="1" applyAlignment="1">
      <alignment vertical="center" wrapText="1"/>
    </xf>
    <xf numFmtId="0" fontId="1" fillId="3" borderId="48" xfId="0" applyFont="1" applyFill="1" applyBorder="1" applyAlignment="1">
      <alignment vertical="center" wrapText="1"/>
    </xf>
    <xf numFmtId="174" fontId="1" fillId="2" borderId="3" xfId="0" applyNumberFormat="1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/>
    </xf>
    <xf numFmtId="0" fontId="5" fillId="28" borderId="45" xfId="0" applyFont="1" applyFill="1" applyBorder="1" applyAlignment="1">
      <alignment horizontal="center" vertical="center" wrapText="1"/>
    </xf>
    <xf numFmtId="173" fontId="1" fillId="2" borderId="53" xfId="0" applyNumberFormat="1" applyFont="1" applyFill="1" applyBorder="1" applyAlignment="1">
      <alignment horizontal="center" vertical="center" wrapText="1"/>
    </xf>
    <xf numFmtId="173" fontId="1" fillId="2" borderId="1" xfId="0" applyNumberFormat="1" applyFont="1" applyFill="1" applyBorder="1" applyAlignment="1">
      <alignment horizontal="center" vertical="center" wrapText="1"/>
    </xf>
    <xf numFmtId="173" fontId="1" fillId="2" borderId="21" xfId="0" applyNumberFormat="1" applyFont="1" applyFill="1" applyBorder="1" applyAlignment="1">
      <alignment horizontal="center" vertical="center" wrapText="1"/>
    </xf>
    <xf numFmtId="174" fontId="1" fillId="2" borderId="37" xfId="0" applyNumberFormat="1" applyFont="1" applyFill="1" applyBorder="1" applyAlignment="1">
      <alignment horizontal="center" vertical="center" wrapText="1"/>
    </xf>
    <xf numFmtId="49" fontId="1" fillId="2" borderId="37" xfId="0" applyNumberFormat="1" applyFont="1" applyFill="1" applyBorder="1" applyAlignment="1">
      <alignment horizontal="center" vertical="center" wrapText="1"/>
    </xf>
    <xf numFmtId="176" fontId="1" fillId="2" borderId="37" xfId="0" applyNumberFormat="1" applyFont="1" applyFill="1" applyBorder="1" applyAlignment="1">
      <alignment horizontal="center" vertical="center" wrapText="1"/>
    </xf>
    <xf numFmtId="174" fontId="1" fillId="2" borderId="1" xfId="0" applyNumberFormat="1" applyFont="1" applyFill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0" fontId="1" fillId="0" borderId="46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58" xfId="0" applyFont="1" applyBorder="1" applyAlignment="1">
      <alignment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0" fillId="0" borderId="60" xfId="0" applyBorder="1"/>
    <xf numFmtId="169" fontId="1" fillId="3" borderId="6" xfId="0" applyNumberFormat="1" applyFont="1" applyFill="1" applyBorder="1" applyAlignment="1">
      <alignment horizontal="center" vertical="center"/>
    </xf>
    <xf numFmtId="169" fontId="1" fillId="3" borderId="5" xfId="0" applyNumberFormat="1" applyFont="1" applyFill="1" applyBorder="1" applyAlignment="1">
      <alignment horizontal="center" vertical="center"/>
    </xf>
    <xf numFmtId="170" fontId="1" fillId="3" borderId="4" xfId="0" applyNumberFormat="1" applyFont="1" applyFill="1" applyBorder="1" applyAlignment="1">
      <alignment horizontal="center" vertical="center"/>
    </xf>
    <xf numFmtId="166" fontId="1" fillId="3" borderId="6" xfId="0" applyNumberFormat="1" applyFont="1" applyFill="1" applyBorder="1" applyAlignment="1">
      <alignment horizontal="center" vertical="center"/>
    </xf>
    <xf numFmtId="166" fontId="1" fillId="3" borderId="5" xfId="0" applyNumberFormat="1" applyFont="1" applyFill="1" applyBorder="1" applyAlignment="1">
      <alignment horizontal="center" vertical="center"/>
    </xf>
    <xf numFmtId="167" fontId="1" fillId="3" borderId="5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73" fontId="1" fillId="2" borderId="6" xfId="0" applyNumberFormat="1" applyFont="1" applyFill="1" applyBorder="1" applyAlignment="1">
      <alignment horizontal="center" vertical="center" wrapText="1"/>
    </xf>
    <xf numFmtId="173" fontId="1" fillId="2" borderId="4" xfId="0" applyNumberFormat="1" applyFont="1" applyFill="1" applyBorder="1" applyAlignment="1">
      <alignment horizontal="center" vertical="center" wrapText="1"/>
    </xf>
    <xf numFmtId="173" fontId="1" fillId="2" borderId="5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1" fillId="0" borderId="31" xfId="0" applyFont="1" applyBorder="1" applyAlignment="1">
      <alignment vertical="center" wrapText="1"/>
    </xf>
    <xf numFmtId="169" fontId="1" fillId="0" borderId="6" xfId="0" applyNumberFormat="1" applyFont="1" applyBorder="1" applyAlignment="1">
      <alignment horizontal="center" vertical="center"/>
    </xf>
    <xf numFmtId="169" fontId="1" fillId="0" borderId="5" xfId="0" applyNumberFormat="1" applyFont="1" applyBorder="1" applyAlignment="1">
      <alignment horizontal="center" vertical="center"/>
    </xf>
    <xf numFmtId="169" fontId="1" fillId="0" borderId="4" xfId="0" applyNumberFormat="1" applyFont="1" applyBorder="1" applyAlignment="1">
      <alignment horizontal="center" vertical="center"/>
    </xf>
    <xf numFmtId="0" fontId="1" fillId="32" borderId="6" xfId="0" applyFont="1" applyFill="1" applyBorder="1" applyAlignment="1" applyProtection="1">
      <alignment horizontal="center" vertical="center" wrapText="1"/>
      <protection locked="0"/>
    </xf>
    <xf numFmtId="0" fontId="3" fillId="15" borderId="61" xfId="0" applyFont="1" applyFill="1" applyBorder="1" applyAlignment="1">
      <alignment horizontal="center" vertical="center" wrapText="1"/>
    </xf>
    <xf numFmtId="0" fontId="3" fillId="15" borderId="62" xfId="0" applyFont="1" applyFill="1" applyBorder="1" applyAlignment="1">
      <alignment horizontal="center" vertical="center" wrapText="1"/>
    </xf>
    <xf numFmtId="0" fontId="3" fillId="15" borderId="63" xfId="0" applyFont="1" applyFill="1" applyBorder="1" applyAlignment="1">
      <alignment horizontal="center" vertical="center" wrapText="1"/>
    </xf>
    <xf numFmtId="0" fontId="3" fillId="12" borderId="61" xfId="0" applyFont="1" applyFill="1" applyBorder="1" applyAlignment="1">
      <alignment horizontal="center" vertical="center" wrapText="1"/>
    </xf>
    <xf numFmtId="0" fontId="3" fillId="12" borderId="62" xfId="0" applyFont="1" applyFill="1" applyBorder="1" applyAlignment="1">
      <alignment horizontal="center" vertical="center" wrapText="1"/>
    </xf>
    <xf numFmtId="0" fontId="3" fillId="12" borderId="63" xfId="0" applyFont="1" applyFill="1" applyBorder="1" applyAlignment="1">
      <alignment horizontal="center" vertical="center" wrapText="1"/>
    </xf>
    <xf numFmtId="0" fontId="3" fillId="20" borderId="64" xfId="0" applyFont="1" applyFill="1" applyBorder="1" applyAlignment="1">
      <alignment horizontal="center" vertical="center" wrapText="1"/>
    </xf>
    <xf numFmtId="0" fontId="3" fillId="20" borderId="62" xfId="0" applyFont="1" applyFill="1" applyBorder="1" applyAlignment="1">
      <alignment horizontal="center" vertical="center" wrapText="1"/>
    </xf>
    <xf numFmtId="0" fontId="3" fillId="20" borderId="63" xfId="0" applyFont="1" applyFill="1" applyBorder="1" applyAlignment="1">
      <alignment horizontal="center" vertical="center" wrapText="1"/>
    </xf>
    <xf numFmtId="0" fontId="3" fillId="19" borderId="64" xfId="0" applyFont="1" applyFill="1" applyBorder="1" applyAlignment="1">
      <alignment horizontal="center" vertical="center" wrapText="1"/>
    </xf>
    <xf numFmtId="0" fontId="3" fillId="19" borderId="62" xfId="0" applyFont="1" applyFill="1" applyBorder="1" applyAlignment="1">
      <alignment horizontal="center" vertical="center" wrapText="1"/>
    </xf>
    <xf numFmtId="0" fontId="3" fillId="19" borderId="63" xfId="0" applyFont="1" applyFill="1" applyBorder="1" applyAlignment="1">
      <alignment horizontal="center" vertical="center" wrapText="1"/>
    </xf>
    <xf numFmtId="0" fontId="3" fillId="22" borderId="65" xfId="0" applyFont="1" applyFill="1" applyBorder="1" applyAlignment="1">
      <alignment horizontal="center" vertical="center" wrapText="1"/>
    </xf>
    <xf numFmtId="0" fontId="3" fillId="22" borderId="66" xfId="0" applyFont="1" applyFill="1" applyBorder="1" applyAlignment="1">
      <alignment horizontal="center" vertical="center" wrapText="1"/>
    </xf>
    <xf numFmtId="0" fontId="3" fillId="22" borderId="67" xfId="0" applyFont="1" applyFill="1" applyBorder="1" applyAlignment="1">
      <alignment horizontal="center" vertical="center" wrapText="1"/>
    </xf>
    <xf numFmtId="169" fontId="1" fillId="0" borderId="54" xfId="0" applyNumberFormat="1" applyFont="1" applyBorder="1" applyAlignment="1">
      <alignment horizontal="center" vertical="center"/>
    </xf>
    <xf numFmtId="169" fontId="1" fillId="0" borderId="68" xfId="0" applyNumberFormat="1" applyFont="1" applyBorder="1" applyAlignment="1">
      <alignment horizontal="center" vertical="center"/>
    </xf>
    <xf numFmtId="169" fontId="1" fillId="0" borderId="55" xfId="0" applyNumberFormat="1" applyFont="1" applyBorder="1" applyAlignment="1">
      <alignment horizontal="center" vertical="center"/>
    </xf>
    <xf numFmtId="169" fontId="1" fillId="23" borderId="36" xfId="0" applyNumberFormat="1" applyFont="1" applyFill="1" applyBorder="1" applyAlignment="1">
      <alignment horizontal="center" vertical="center"/>
    </xf>
    <xf numFmtId="0" fontId="1" fillId="32" borderId="54" xfId="0" applyFont="1" applyFill="1" applyBorder="1" applyAlignment="1" applyProtection="1">
      <alignment horizontal="center" vertical="center" wrapText="1"/>
      <protection locked="0"/>
    </xf>
    <xf numFmtId="169" fontId="1" fillId="31" borderId="68" xfId="0" applyNumberFormat="1" applyFont="1" applyFill="1" applyBorder="1" applyAlignment="1">
      <alignment horizontal="center" vertical="center"/>
    </xf>
    <xf numFmtId="169" fontId="1" fillId="31" borderId="69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70" xfId="0" applyFont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4" fillId="28" borderId="72" xfId="0" applyFont="1" applyFill="1" applyBorder="1" applyAlignment="1">
      <alignment horizontal="center" vertical="center" textRotation="90" wrapText="1"/>
    </xf>
    <xf numFmtId="0" fontId="4" fillId="28" borderId="73" xfId="0" applyFont="1" applyFill="1" applyBorder="1" applyAlignment="1">
      <alignment horizontal="center" vertical="center" textRotation="90" wrapText="1"/>
    </xf>
    <xf numFmtId="0" fontId="4" fillId="28" borderId="74" xfId="0" applyFont="1" applyFill="1" applyBorder="1" applyAlignment="1">
      <alignment horizontal="center" vertical="center" textRotation="90" wrapText="1"/>
    </xf>
    <xf numFmtId="0" fontId="3" fillId="28" borderId="72" xfId="0" applyFont="1" applyFill="1" applyBorder="1" applyAlignment="1">
      <alignment horizontal="center" vertical="center" wrapText="1"/>
    </xf>
    <xf numFmtId="0" fontId="3" fillId="28" borderId="73" xfId="0" applyFont="1" applyFill="1" applyBorder="1" applyAlignment="1">
      <alignment horizontal="center" vertical="center" wrapText="1"/>
    </xf>
    <xf numFmtId="0" fontId="3" fillId="28" borderId="74" xfId="0" applyFont="1" applyFill="1" applyBorder="1" applyAlignment="1">
      <alignment horizontal="center" vertical="center" wrapText="1"/>
    </xf>
    <xf numFmtId="0" fontId="3" fillId="28" borderId="75" xfId="0" applyFont="1" applyFill="1" applyBorder="1" applyAlignment="1">
      <alignment horizontal="center" vertical="center" wrapText="1"/>
    </xf>
    <xf numFmtId="0" fontId="3" fillId="28" borderId="76" xfId="0" applyFont="1" applyFill="1" applyBorder="1" applyAlignment="1">
      <alignment horizontal="center" vertical="center" wrapText="1"/>
    </xf>
    <xf numFmtId="0" fontId="3" fillId="28" borderId="77" xfId="0" applyFont="1" applyFill="1" applyBorder="1" applyAlignment="1">
      <alignment horizontal="center" vertical="center" wrapText="1"/>
    </xf>
    <xf numFmtId="0" fontId="11" fillId="28" borderId="75" xfId="0" applyFont="1" applyFill="1" applyBorder="1" applyAlignment="1">
      <alignment horizontal="center" vertical="center" wrapText="1"/>
    </xf>
    <xf numFmtId="0" fontId="11" fillId="28" borderId="77" xfId="0" applyFont="1" applyFill="1" applyBorder="1" applyAlignment="1">
      <alignment horizontal="center" vertical="center" wrapText="1"/>
    </xf>
    <xf numFmtId="0" fontId="3" fillId="28" borderId="78" xfId="0" applyFont="1" applyFill="1" applyBorder="1" applyAlignment="1">
      <alignment horizontal="center" vertical="center" wrapText="1"/>
    </xf>
    <xf numFmtId="0" fontId="3" fillId="28" borderId="79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horizontal="center" vertical="center" wrapText="1"/>
    </xf>
    <xf numFmtId="175" fontId="1" fillId="2" borderId="80" xfId="0" applyNumberFormat="1" applyFont="1" applyFill="1" applyBorder="1" applyAlignment="1">
      <alignment horizontal="center" vertical="center" wrapText="1"/>
    </xf>
    <xf numFmtId="0" fontId="4" fillId="30" borderId="72" xfId="0" applyFont="1" applyFill="1" applyBorder="1" applyAlignment="1">
      <alignment horizontal="center" vertical="center" textRotation="90" wrapText="1"/>
    </xf>
    <xf numFmtId="0" fontId="4" fillId="30" borderId="73" xfId="0" applyFont="1" applyFill="1" applyBorder="1" applyAlignment="1">
      <alignment horizontal="center" vertical="center" textRotation="90" wrapText="1"/>
    </xf>
    <xf numFmtId="0" fontId="4" fillId="30" borderId="74" xfId="0" applyFont="1" applyFill="1" applyBorder="1" applyAlignment="1">
      <alignment horizontal="center" vertical="center" textRotation="90" wrapText="1"/>
    </xf>
    <xf numFmtId="0" fontId="3" fillId="30" borderId="73" xfId="0" applyFont="1" applyFill="1" applyBorder="1" applyAlignment="1">
      <alignment horizontal="center" vertical="center" wrapText="1"/>
    </xf>
    <xf numFmtId="0" fontId="3" fillId="30" borderId="74" xfId="0" applyFont="1" applyFill="1" applyBorder="1" applyAlignment="1">
      <alignment horizontal="center" vertical="center" wrapText="1"/>
    </xf>
    <xf numFmtId="0" fontId="3" fillId="30" borderId="44" xfId="0" applyFont="1" applyFill="1" applyBorder="1" applyAlignment="1">
      <alignment horizontal="center" vertical="center" wrapText="1"/>
    </xf>
    <xf numFmtId="0" fontId="11" fillId="30" borderId="75" xfId="0" applyFont="1" applyFill="1" applyBorder="1" applyAlignment="1">
      <alignment horizontal="center" vertical="center" wrapText="1"/>
    </xf>
    <xf numFmtId="0" fontId="11" fillId="30" borderId="77" xfId="0" applyFont="1" applyFill="1" applyBorder="1" applyAlignment="1">
      <alignment horizontal="center" vertical="center" wrapText="1"/>
    </xf>
    <xf numFmtId="0" fontId="3" fillId="30" borderId="76" xfId="0" applyFont="1" applyFill="1" applyBorder="1" applyAlignment="1">
      <alignment horizontal="center" vertical="center" wrapText="1"/>
    </xf>
    <xf numFmtId="0" fontId="3" fillId="30" borderId="79" xfId="0" applyFont="1" applyFill="1" applyBorder="1" applyAlignment="1">
      <alignment horizontal="center" vertical="center" wrapText="1"/>
    </xf>
    <xf numFmtId="167" fontId="5" fillId="27" borderId="33" xfId="0" applyNumberFormat="1" applyFont="1" applyFill="1" applyBorder="1" applyAlignment="1">
      <alignment horizontal="center" vertical="center"/>
    </xf>
    <xf numFmtId="167" fontId="5" fillId="27" borderId="34" xfId="0" applyNumberFormat="1" applyFont="1" applyFill="1" applyBorder="1" applyAlignment="1">
      <alignment horizontal="center" vertical="center"/>
    </xf>
    <xf numFmtId="167" fontId="5" fillId="27" borderId="35" xfId="0" applyNumberFormat="1" applyFont="1" applyFill="1" applyBorder="1" applyAlignment="1">
      <alignment horizontal="center" vertical="center"/>
    </xf>
    <xf numFmtId="167" fontId="5" fillId="27" borderId="12" xfId="0" applyNumberFormat="1" applyFont="1" applyFill="1" applyBorder="1" applyAlignment="1">
      <alignment horizontal="center" vertical="center"/>
    </xf>
    <xf numFmtId="167" fontId="5" fillId="27" borderId="8" xfId="0" applyNumberFormat="1" applyFont="1" applyFill="1" applyBorder="1" applyAlignment="1">
      <alignment horizontal="center" vertical="center"/>
    </xf>
    <xf numFmtId="167" fontId="5" fillId="27" borderId="13" xfId="0" applyNumberFormat="1" applyFont="1" applyFill="1" applyBorder="1" applyAlignment="1">
      <alignment horizontal="center" vertical="center"/>
    </xf>
    <xf numFmtId="0" fontId="5" fillId="26" borderId="34" xfId="0" applyFont="1" applyFill="1" applyBorder="1" applyAlignment="1">
      <alignment horizontal="center" vertical="center" wrapText="1"/>
    </xf>
    <xf numFmtId="0" fontId="5" fillId="26" borderId="49" xfId="0" applyFont="1" applyFill="1" applyBorder="1" applyAlignment="1">
      <alignment horizontal="center" vertical="center" wrapText="1"/>
    </xf>
    <xf numFmtId="0" fontId="5" fillId="26" borderId="8" xfId="0" applyFont="1" applyFill="1" applyBorder="1" applyAlignment="1">
      <alignment horizontal="center" vertical="center" wrapText="1"/>
    </xf>
    <xf numFmtId="0" fontId="5" fillId="26" borderId="26" xfId="0" applyFont="1" applyFill="1" applyBorder="1" applyAlignment="1">
      <alignment horizontal="center" vertical="center" wrapText="1"/>
    </xf>
    <xf numFmtId="0" fontId="6" fillId="24" borderId="14" xfId="0" applyFont="1" applyFill="1" applyBorder="1" applyAlignment="1">
      <alignment horizontal="center" vertical="center"/>
    </xf>
    <xf numFmtId="0" fontId="6" fillId="24" borderId="15" xfId="0" applyFont="1" applyFill="1" applyBorder="1" applyAlignment="1">
      <alignment horizontal="center" vertical="center"/>
    </xf>
    <xf numFmtId="0" fontId="6" fillId="24" borderId="16" xfId="0" applyFont="1" applyFill="1" applyBorder="1" applyAlignment="1">
      <alignment horizontal="center" vertical="center"/>
    </xf>
    <xf numFmtId="0" fontId="5" fillId="26" borderId="33" xfId="0" applyFont="1" applyFill="1" applyBorder="1" applyAlignment="1">
      <alignment horizontal="center" vertical="center"/>
    </xf>
    <xf numFmtId="0" fontId="5" fillId="26" borderId="34" xfId="0" applyFont="1" applyFill="1" applyBorder="1" applyAlignment="1">
      <alignment horizontal="center" vertical="center"/>
    </xf>
    <xf numFmtId="0" fontId="5" fillId="26" borderId="35" xfId="0" applyFont="1" applyFill="1" applyBorder="1" applyAlignment="1">
      <alignment horizontal="center" vertical="center"/>
    </xf>
    <xf numFmtId="0" fontId="5" fillId="26" borderId="23" xfId="0" applyFont="1" applyFill="1" applyBorder="1" applyAlignment="1">
      <alignment horizontal="center" vertical="center"/>
    </xf>
    <xf numFmtId="0" fontId="5" fillId="26" borderId="0" xfId="0" applyFont="1" applyFill="1" applyAlignment="1">
      <alignment horizontal="center" vertical="center"/>
    </xf>
    <xf numFmtId="0" fontId="5" fillId="26" borderId="24" xfId="0" applyFont="1" applyFill="1" applyBorder="1" applyAlignment="1">
      <alignment horizontal="center" vertical="center"/>
    </xf>
    <xf numFmtId="0" fontId="5" fillId="26" borderId="46" xfId="0" applyFont="1" applyFill="1" applyBorder="1" applyAlignment="1">
      <alignment horizontal="center" vertical="center" wrapText="1"/>
    </xf>
    <xf numFmtId="0" fontId="5" fillId="26" borderId="25" xfId="0" applyFont="1" applyFill="1" applyBorder="1" applyAlignment="1">
      <alignment horizontal="center" vertical="center" wrapText="1"/>
    </xf>
    <xf numFmtId="0" fontId="5" fillId="26" borderId="48" xfId="0" applyFont="1" applyFill="1" applyBorder="1" applyAlignment="1">
      <alignment horizontal="center" vertical="center" wrapText="1"/>
    </xf>
    <xf numFmtId="0" fontId="5" fillId="26" borderId="71" xfId="0" applyFont="1" applyFill="1" applyBorder="1" applyAlignment="1">
      <alignment horizontal="center" vertical="center" wrapText="1"/>
    </xf>
    <xf numFmtId="0" fontId="5" fillId="26" borderId="11" xfId="0" applyFont="1" applyFill="1" applyBorder="1" applyAlignment="1">
      <alignment horizontal="center" vertical="center" wrapText="1"/>
    </xf>
    <xf numFmtId="0" fontId="5" fillId="26" borderId="29" xfId="0" applyFont="1" applyFill="1" applyBorder="1" applyAlignment="1">
      <alignment horizontal="center" vertical="center" wrapText="1"/>
    </xf>
    <xf numFmtId="0" fontId="5" fillId="26" borderId="50" xfId="0" applyFont="1" applyFill="1" applyBorder="1" applyAlignment="1">
      <alignment horizontal="center" vertical="center" wrapText="1"/>
    </xf>
    <xf numFmtId="0" fontId="5" fillId="26" borderId="51" xfId="0" applyFont="1" applyFill="1" applyBorder="1" applyAlignment="1">
      <alignment horizontal="center" vertical="center" wrapText="1"/>
    </xf>
    <xf numFmtId="0" fontId="5" fillId="26" borderId="52" xfId="0" applyFont="1" applyFill="1" applyBorder="1" applyAlignment="1">
      <alignment horizontal="center" vertical="center" wrapText="1"/>
    </xf>
    <xf numFmtId="0" fontId="5" fillId="26" borderId="33" xfId="0" applyFont="1" applyFill="1" applyBorder="1" applyAlignment="1">
      <alignment horizontal="center" vertical="center" wrapText="1"/>
    </xf>
    <xf numFmtId="0" fontId="5" fillId="26" borderId="35" xfId="0" applyFont="1" applyFill="1" applyBorder="1" applyAlignment="1">
      <alignment horizontal="center" vertical="center" wrapText="1"/>
    </xf>
    <xf numFmtId="0" fontId="5" fillId="26" borderId="12" xfId="0" applyFont="1" applyFill="1" applyBorder="1" applyAlignment="1">
      <alignment horizontal="center" vertical="center" wrapText="1"/>
    </xf>
    <xf numFmtId="0" fontId="5" fillId="26" borderId="13" xfId="0" applyFont="1" applyFill="1" applyBorder="1" applyAlignment="1">
      <alignment horizontal="center" vertical="center" wrapText="1"/>
    </xf>
    <xf numFmtId="0" fontId="5" fillId="26" borderId="36" xfId="0" applyFont="1" applyFill="1" applyBorder="1" applyAlignment="1">
      <alignment horizontal="center" vertical="center" wrapText="1"/>
    </xf>
    <xf numFmtId="0" fontId="5" fillId="26" borderId="44" xfId="0" applyFont="1" applyFill="1" applyBorder="1" applyAlignment="1">
      <alignment horizontal="center" vertical="center" wrapText="1"/>
    </xf>
    <xf numFmtId="0" fontId="5" fillId="26" borderId="54" xfId="0" applyFont="1" applyFill="1" applyBorder="1" applyAlignment="1">
      <alignment horizontal="center" vertical="center" wrapText="1"/>
    </xf>
    <xf numFmtId="0" fontId="5" fillId="26" borderId="55" xfId="0" applyFont="1" applyFill="1" applyBorder="1" applyAlignment="1">
      <alignment horizontal="center" vertical="center" wrapText="1"/>
    </xf>
    <xf numFmtId="0" fontId="5" fillId="26" borderId="56" xfId="0" applyFont="1" applyFill="1" applyBorder="1" applyAlignment="1">
      <alignment horizontal="center" vertical="center" wrapText="1"/>
    </xf>
    <xf numFmtId="0" fontId="5" fillId="26" borderId="57" xfId="0" applyFont="1" applyFill="1" applyBorder="1" applyAlignment="1">
      <alignment horizontal="center" vertical="center" wrapText="1"/>
    </xf>
    <xf numFmtId="0" fontId="6" fillId="25" borderId="14" xfId="0" applyFont="1" applyFill="1" applyBorder="1" applyAlignment="1">
      <alignment horizontal="center" vertical="center"/>
    </xf>
    <xf numFmtId="0" fontId="6" fillId="25" borderId="15" xfId="0" applyFont="1" applyFill="1" applyBorder="1" applyAlignment="1">
      <alignment horizontal="center" vertical="center"/>
    </xf>
    <xf numFmtId="0" fontId="6" fillId="25" borderId="16" xfId="0" applyFont="1" applyFill="1" applyBorder="1" applyAlignment="1">
      <alignment horizontal="center" vertical="center"/>
    </xf>
    <xf numFmtId="0" fontId="5" fillId="29" borderId="31" xfId="0" applyFont="1" applyFill="1" applyBorder="1" applyAlignment="1">
      <alignment horizontal="center" vertical="center" wrapText="1"/>
    </xf>
    <xf numFmtId="0" fontId="5" fillId="29" borderId="25" xfId="0" applyFont="1" applyFill="1" applyBorder="1" applyAlignment="1">
      <alignment horizontal="center" vertical="center" wrapText="1"/>
    </xf>
    <xf numFmtId="0" fontId="5" fillId="29" borderId="48" xfId="0" applyFont="1" applyFill="1" applyBorder="1" applyAlignment="1">
      <alignment horizontal="center" vertical="center" wrapText="1"/>
    </xf>
    <xf numFmtId="0" fontId="5" fillId="29" borderId="32" xfId="0" applyFont="1" applyFill="1" applyBorder="1" applyAlignment="1">
      <alignment horizontal="center" vertical="center" wrapText="1"/>
    </xf>
    <xf numFmtId="0" fontId="5" fillId="29" borderId="11" xfId="0" applyFont="1" applyFill="1" applyBorder="1" applyAlignment="1">
      <alignment horizontal="center" vertical="center" wrapText="1"/>
    </xf>
    <xf numFmtId="0" fontId="5" fillId="29" borderId="29" xfId="0" applyFont="1" applyFill="1" applyBorder="1" applyAlignment="1">
      <alignment horizontal="center" vertical="center" wrapText="1"/>
    </xf>
    <xf numFmtId="0" fontId="5" fillId="29" borderId="7" xfId="0" applyFont="1" applyFill="1" applyBorder="1" applyAlignment="1">
      <alignment horizontal="center" vertical="center" wrapText="1"/>
    </xf>
    <xf numFmtId="0" fontId="5" fillId="29" borderId="33" xfId="0" applyFont="1" applyFill="1" applyBorder="1" applyAlignment="1">
      <alignment horizontal="center" vertical="center" wrapText="1"/>
    </xf>
    <xf numFmtId="0" fontId="5" fillId="29" borderId="34" xfId="0" applyFont="1" applyFill="1" applyBorder="1" applyAlignment="1">
      <alignment horizontal="center" vertical="center" wrapText="1"/>
    </xf>
    <xf numFmtId="0" fontId="5" fillId="29" borderId="35" xfId="0" applyFont="1" applyFill="1" applyBorder="1" applyAlignment="1">
      <alignment horizontal="center" vertical="center" wrapText="1"/>
    </xf>
    <xf numFmtId="0" fontId="5" fillId="29" borderId="12" xfId="0" applyFont="1" applyFill="1" applyBorder="1" applyAlignment="1">
      <alignment horizontal="center" vertical="center" wrapText="1"/>
    </xf>
    <xf numFmtId="0" fontId="5" fillId="29" borderId="8" xfId="0" applyFont="1" applyFill="1" applyBorder="1" applyAlignment="1">
      <alignment horizontal="center" vertical="center" wrapText="1"/>
    </xf>
    <xf numFmtId="0" fontId="5" fillId="29" borderId="13" xfId="0" applyFont="1" applyFill="1" applyBorder="1" applyAlignment="1">
      <alignment horizontal="center" vertical="center" wrapText="1"/>
    </xf>
    <xf numFmtId="0" fontId="5" fillId="29" borderId="23" xfId="0" applyFont="1" applyFill="1" applyBorder="1" applyAlignment="1">
      <alignment horizontal="center" vertical="center" wrapText="1"/>
    </xf>
    <xf numFmtId="0" fontId="5" fillId="29" borderId="24" xfId="0" applyFont="1" applyFill="1" applyBorder="1" applyAlignment="1">
      <alignment horizontal="center" vertical="center"/>
    </xf>
    <xf numFmtId="0" fontId="5" fillId="29" borderId="12" xfId="0" applyFont="1" applyFill="1" applyBorder="1" applyAlignment="1">
      <alignment horizontal="center" vertical="center"/>
    </xf>
    <xf numFmtId="0" fontId="5" fillId="29" borderId="13" xfId="0" applyFont="1" applyFill="1" applyBorder="1" applyAlignment="1">
      <alignment horizontal="center" vertical="center"/>
    </xf>
    <xf numFmtId="0" fontId="5" fillId="29" borderId="49" xfId="0" applyFont="1" applyFill="1" applyBorder="1" applyAlignment="1">
      <alignment horizontal="center" vertical="center" wrapText="1"/>
    </xf>
    <xf numFmtId="0" fontId="5" fillId="29" borderId="26" xfId="0" applyFont="1" applyFill="1" applyBorder="1" applyAlignment="1">
      <alignment horizontal="center" vertical="center" wrapText="1"/>
    </xf>
    <xf numFmtId="0" fontId="5" fillId="29" borderId="36" xfId="0" applyFont="1" applyFill="1" applyBorder="1" applyAlignment="1">
      <alignment horizontal="center" vertical="center" wrapText="1"/>
    </xf>
    <xf numFmtId="0" fontId="5" fillId="29" borderId="44" xfId="0" applyFont="1" applyFill="1" applyBorder="1" applyAlignment="1">
      <alignment horizontal="center" vertical="center" wrapText="1"/>
    </xf>
    <xf numFmtId="0" fontId="5" fillId="29" borderId="54" xfId="0" applyFont="1" applyFill="1" applyBorder="1" applyAlignment="1">
      <alignment horizontal="center" vertical="center" wrapText="1"/>
    </xf>
    <xf numFmtId="0" fontId="5" fillId="29" borderId="55" xfId="0" applyFont="1" applyFill="1" applyBorder="1" applyAlignment="1">
      <alignment horizontal="center" vertical="center" wrapText="1"/>
    </xf>
    <xf numFmtId="0" fontId="5" fillId="29" borderId="56" xfId="0" applyFont="1" applyFill="1" applyBorder="1" applyAlignment="1">
      <alignment horizontal="center" vertical="center" wrapText="1"/>
    </xf>
    <xf numFmtId="0" fontId="5" fillId="29" borderId="57" xfId="0" applyFont="1" applyFill="1" applyBorder="1" applyAlignment="1">
      <alignment horizontal="center" vertical="center" wrapText="1"/>
    </xf>
    <xf numFmtId="0" fontId="6" fillId="16" borderId="40" xfId="0" applyFont="1" applyFill="1" applyBorder="1" applyAlignment="1">
      <alignment horizontal="center" vertical="center"/>
    </xf>
    <xf numFmtId="0" fontId="6" fillId="16" borderId="41" xfId="0" applyFont="1" applyFill="1" applyBorder="1" applyAlignment="1">
      <alignment horizontal="center" vertical="center"/>
    </xf>
    <xf numFmtId="0" fontId="6" fillId="16" borderId="42" xfId="0" applyFont="1" applyFill="1" applyBorder="1" applyAlignment="1">
      <alignment horizontal="center" vertical="center"/>
    </xf>
    <xf numFmtId="0" fontId="5" fillId="17" borderId="43" xfId="0" applyFont="1" applyFill="1" applyBorder="1" applyAlignment="1">
      <alignment horizontal="center" vertical="center" wrapText="1"/>
    </xf>
    <xf numFmtId="0" fontId="5" fillId="17" borderId="11" xfId="0" applyFont="1" applyFill="1" applyBorder="1" applyAlignment="1">
      <alignment horizontal="center" vertical="center" wrapText="1"/>
    </xf>
    <xf numFmtId="0" fontId="5" fillId="18" borderId="40" xfId="0" applyFont="1" applyFill="1" applyBorder="1" applyAlignment="1">
      <alignment horizontal="center" vertical="center"/>
    </xf>
    <xf numFmtId="0" fontId="5" fillId="18" borderId="41" xfId="0" applyFont="1" applyFill="1" applyBorder="1" applyAlignment="1">
      <alignment horizontal="center" vertical="center"/>
    </xf>
    <xf numFmtId="0" fontId="5" fillId="18" borderId="42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5" fillId="18" borderId="8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21" borderId="41" xfId="0" applyFont="1" applyFill="1" applyBorder="1" applyAlignment="1">
      <alignment horizontal="center" vertical="center"/>
    </xf>
    <xf numFmtId="0" fontId="5" fillId="21" borderId="42" xfId="0" applyFont="1" applyFill="1" applyBorder="1" applyAlignment="1">
      <alignment horizontal="center" vertical="center"/>
    </xf>
    <xf numFmtId="0" fontId="5" fillId="21" borderId="8" xfId="0" applyFont="1" applyFill="1" applyBorder="1" applyAlignment="1">
      <alignment horizontal="center" vertical="center"/>
    </xf>
    <xf numFmtId="0" fontId="5" fillId="21" borderId="13" xfId="0" applyFont="1" applyFill="1" applyBorder="1" applyAlignment="1">
      <alignment horizontal="center" vertical="center"/>
    </xf>
    <xf numFmtId="0" fontId="5" fillId="11" borderId="41" xfId="0" applyFont="1" applyFill="1" applyBorder="1" applyAlignment="1">
      <alignment horizontal="center" vertical="center"/>
    </xf>
    <xf numFmtId="0" fontId="5" fillId="11" borderId="42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5" fillId="13" borderId="41" xfId="0" applyFont="1" applyFill="1" applyBorder="1" applyAlignment="1">
      <alignment horizontal="center" vertical="center"/>
    </xf>
    <xf numFmtId="0" fontId="5" fillId="13" borderId="42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6" fillId="23" borderId="43" xfId="0" applyFont="1" applyFill="1" applyBorder="1" applyAlignment="1">
      <alignment horizontal="center" vertical="center"/>
    </xf>
    <xf numFmtId="0" fontId="6" fillId="23" borderId="11" xfId="0" applyFont="1" applyFill="1" applyBorder="1" applyAlignment="1">
      <alignment horizontal="center" vertical="center"/>
    </xf>
    <xf numFmtId="0" fontId="5" fillId="15" borderId="40" xfId="0" applyFont="1" applyFill="1" applyBorder="1" applyAlignment="1">
      <alignment horizontal="center" vertical="center"/>
    </xf>
    <xf numFmtId="0" fontId="5" fillId="15" borderId="41" xfId="0" applyFont="1" applyFill="1" applyBorder="1" applyAlignment="1">
      <alignment horizontal="center" vertical="center"/>
    </xf>
    <xf numFmtId="0" fontId="5" fillId="15" borderId="4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</cellXfs>
  <cellStyles count="1">
    <cellStyle name="Standard" xfId="0" builtinId="0"/>
  </cellStyles>
  <dxfs count="33">
    <dxf>
      <font>
        <color theme="1"/>
      </font>
      <fill>
        <patternFill>
          <bgColor theme="0" tint="-0.24994659260841701"/>
        </patternFill>
      </fill>
    </dxf>
    <dxf>
      <font>
        <color theme="0" tint="-0.24994659260841701"/>
      </font>
    </dxf>
    <dxf>
      <font>
        <color rgb="FFFF0000"/>
      </font>
      <fill>
        <patternFill>
          <bgColor rgb="FFFF8989"/>
        </patternFill>
      </fill>
    </dxf>
    <dxf>
      <font>
        <color rgb="FFFF0000"/>
      </font>
      <fill>
        <patternFill>
          <bgColor rgb="FFEAEAEA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ont>
        <color rgb="FFFF0000"/>
      </font>
      <fill>
        <patternFill>
          <bgColor rgb="FFEAEAEA"/>
        </patternFill>
      </fill>
    </dxf>
    <dxf>
      <font>
        <b/>
        <i val="0"/>
        <color theme="1"/>
      </font>
      <fill>
        <patternFill>
          <bgColor rgb="FF66669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D3313D"/>
        </patternFill>
      </fill>
    </dxf>
    <dxf>
      <font>
        <b/>
        <i val="0"/>
        <color theme="0"/>
      </font>
      <fill>
        <patternFill>
          <bgColor rgb="FFFF7E13"/>
        </patternFill>
      </fill>
    </dxf>
    <dxf>
      <font>
        <b/>
        <i val="0"/>
        <color theme="0"/>
      </font>
      <fill>
        <patternFill>
          <bgColor rgb="FFFFB612"/>
        </patternFill>
      </fill>
    </dxf>
    <dxf>
      <font>
        <b/>
        <i val="0"/>
        <color theme="0"/>
      </font>
      <fill>
        <patternFill>
          <bgColor rgb="FF71BC4A"/>
        </patternFill>
      </fill>
    </dxf>
    <dxf>
      <font>
        <b/>
        <i val="0"/>
        <color theme="0"/>
      </font>
      <fill>
        <patternFill>
          <bgColor rgb="FF098B6D"/>
        </patternFill>
      </fill>
    </dxf>
    <dxf>
      <font>
        <b/>
        <i val="0"/>
        <color theme="0"/>
      </font>
      <fill>
        <patternFill>
          <bgColor rgb="FF066C53"/>
        </patternFill>
      </fill>
    </dxf>
    <dxf>
      <font>
        <b/>
        <i val="0"/>
        <color theme="0"/>
      </font>
      <fill>
        <patternFill>
          <bgColor rgb="FF6C8591"/>
        </patternFill>
      </fill>
    </dxf>
    <dxf>
      <font>
        <color rgb="FFFF0000"/>
      </font>
      <fill>
        <patternFill>
          <bgColor rgb="FFEAEAEA"/>
        </patternFill>
      </fill>
    </dxf>
    <dxf>
      <font>
        <color rgb="FFFF0000"/>
      </font>
      <fill>
        <patternFill>
          <bgColor rgb="FFEAEAEA"/>
        </patternFill>
      </fill>
    </dxf>
    <dxf>
      <font>
        <b/>
        <i val="0"/>
        <color theme="1"/>
      </font>
      <fill>
        <patternFill>
          <bgColor rgb="FFCCFF99"/>
        </patternFill>
      </fill>
    </dxf>
    <dxf>
      <font>
        <b/>
        <i val="0"/>
      </font>
      <fill>
        <patternFill>
          <bgColor rgb="FF51A2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 patternType="none">
          <bgColor auto="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rgb="FFFF999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D3313D"/>
        </patternFill>
      </fill>
    </dxf>
    <dxf>
      <font>
        <b/>
        <i val="0"/>
        <color theme="0"/>
      </font>
      <fill>
        <patternFill>
          <bgColor rgb="FFFF7E13"/>
        </patternFill>
      </fill>
    </dxf>
    <dxf>
      <font>
        <b/>
        <i val="0"/>
        <color theme="0"/>
      </font>
      <fill>
        <patternFill>
          <bgColor rgb="FFFFB612"/>
        </patternFill>
      </fill>
    </dxf>
    <dxf>
      <font>
        <b/>
        <i val="0"/>
        <color theme="0"/>
      </font>
      <fill>
        <patternFill>
          <bgColor rgb="FF71BC4A"/>
        </patternFill>
      </fill>
    </dxf>
    <dxf>
      <font>
        <b/>
        <i val="0"/>
        <color theme="0"/>
      </font>
      <fill>
        <patternFill>
          <bgColor rgb="FF098B6D"/>
        </patternFill>
      </fill>
    </dxf>
    <dxf>
      <font>
        <b/>
        <i val="0"/>
        <color theme="0"/>
      </font>
      <fill>
        <patternFill>
          <bgColor rgb="FF066C53"/>
        </patternFill>
      </fill>
    </dxf>
    <dxf>
      <font>
        <b/>
        <i val="0"/>
        <color theme="0"/>
      </font>
      <fill>
        <patternFill>
          <bgColor rgb="FF6C859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51A200"/>
      <color rgb="FFCCFF99"/>
      <color rgb="FFA5A5C3"/>
      <color rgb="FFFFB612"/>
      <color rgb="FFCACADC"/>
      <color rgb="FFEECADC"/>
      <color rgb="FFEAEAEA"/>
      <color rgb="FF098B6D"/>
      <color rgb="FF71BC4A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7" Type="http://schemas.openxmlformats.org/officeDocument/2006/relationships/image" Target="../media/image7.jpg"/><Relationship Id="rId2" Type="http://schemas.openxmlformats.org/officeDocument/2006/relationships/image" Target="../media/image5.jpg"/><Relationship Id="rId1" Type="http://schemas.openxmlformats.org/officeDocument/2006/relationships/image" Target="../media/image6.jpg"/><Relationship Id="rId6" Type="http://schemas.openxmlformats.org/officeDocument/2006/relationships/image" Target="../media/image1.jpg"/><Relationship Id="rId5" Type="http://schemas.openxmlformats.org/officeDocument/2006/relationships/image" Target="../media/image2.jp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317516" cy="299305"/>
    <xdr:pic>
      <xdr:nvPicPr>
        <xdr:cNvPr id="10" name="Grafik 9">
          <a:extLst>
            <a:ext uri="{FF2B5EF4-FFF2-40B4-BE49-F238E27FC236}">
              <a16:creationId xmlns:a16="http://schemas.microsoft.com/office/drawing/2014/main" id="{6FF8A1B8-64BC-4F43-99FE-19DB692EE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631031"/>
          <a:ext cx="317516" cy="299305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</xdr:row>
      <xdr:rowOff>0</xdr:rowOff>
    </xdr:from>
    <xdr:ext cx="317516" cy="298751"/>
    <xdr:pic>
      <xdr:nvPicPr>
        <xdr:cNvPr id="11" name="Grafik 10">
          <a:extLst>
            <a:ext uri="{FF2B5EF4-FFF2-40B4-BE49-F238E27FC236}">
              <a16:creationId xmlns:a16="http://schemas.microsoft.com/office/drawing/2014/main" id="{C9961472-2DA3-45C1-81AF-2101CBCA6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6844" y="631031"/>
          <a:ext cx="317516" cy="298751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</xdr:row>
      <xdr:rowOff>0</xdr:rowOff>
    </xdr:from>
    <xdr:ext cx="317516" cy="298751"/>
    <xdr:pic>
      <xdr:nvPicPr>
        <xdr:cNvPr id="12" name="Grafik 11">
          <a:extLst>
            <a:ext uri="{FF2B5EF4-FFF2-40B4-BE49-F238E27FC236}">
              <a16:creationId xmlns:a16="http://schemas.microsoft.com/office/drawing/2014/main" id="{2811E61F-C836-4A42-BBC3-1A335C4C6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8313" y="631031"/>
          <a:ext cx="317516" cy="298751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</xdr:row>
      <xdr:rowOff>0</xdr:rowOff>
    </xdr:from>
    <xdr:ext cx="317516" cy="298750"/>
    <xdr:pic>
      <xdr:nvPicPr>
        <xdr:cNvPr id="13" name="Grafik 12">
          <a:extLst>
            <a:ext uri="{FF2B5EF4-FFF2-40B4-BE49-F238E27FC236}">
              <a16:creationId xmlns:a16="http://schemas.microsoft.com/office/drawing/2014/main" id="{2539072A-B0D1-49B6-8E21-1789FA1B0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9781" y="631031"/>
          <a:ext cx="317516" cy="29875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</xdr:row>
      <xdr:rowOff>0</xdr:rowOff>
    </xdr:from>
    <xdr:ext cx="317513" cy="298751"/>
    <xdr:pic>
      <xdr:nvPicPr>
        <xdr:cNvPr id="14" name="Grafik 13">
          <a:extLst>
            <a:ext uri="{FF2B5EF4-FFF2-40B4-BE49-F238E27FC236}">
              <a16:creationId xmlns:a16="http://schemas.microsoft.com/office/drawing/2014/main" id="{B363CF6E-C2E8-4779-AA94-1782FAFCA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0" y="631031"/>
          <a:ext cx="317513" cy="298751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0</xdr:rowOff>
    </xdr:from>
    <xdr:ext cx="317514" cy="298750"/>
    <xdr:pic>
      <xdr:nvPicPr>
        <xdr:cNvPr id="15" name="Grafik 14">
          <a:extLst>
            <a:ext uri="{FF2B5EF4-FFF2-40B4-BE49-F238E27FC236}">
              <a16:creationId xmlns:a16="http://schemas.microsoft.com/office/drawing/2014/main" id="{1F50628A-1105-4B7D-9BFA-DF098DFC6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719" y="631031"/>
          <a:ext cx="317514" cy="29875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0</xdr:rowOff>
    </xdr:from>
    <xdr:ext cx="315648" cy="296856"/>
    <xdr:pic>
      <xdr:nvPicPr>
        <xdr:cNvPr id="9" name="Grafik 8">
          <a:extLst>
            <a:ext uri="{FF2B5EF4-FFF2-40B4-BE49-F238E27FC236}">
              <a16:creationId xmlns:a16="http://schemas.microsoft.com/office/drawing/2014/main" id="{C860B5E7-4A53-46A2-9CE0-2D871DA74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3906" y="631031"/>
          <a:ext cx="315648" cy="29685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327821</xdr:colOff>
      <xdr:row>2</xdr:row>
      <xdr:rowOff>2</xdr:rowOff>
    </xdr:from>
    <xdr:ext cx="317514" cy="298750"/>
    <xdr:pic>
      <xdr:nvPicPr>
        <xdr:cNvPr id="9" name="Grafik 8">
          <a:extLst>
            <a:ext uri="{FF2B5EF4-FFF2-40B4-BE49-F238E27FC236}">
              <a16:creationId xmlns:a16="http://schemas.microsoft.com/office/drawing/2014/main" id="{3F3C7F97-1066-4214-9245-6B1C60E32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0721" y="571502"/>
          <a:ext cx="317514" cy="298750"/>
        </a:xfrm>
        <a:prstGeom prst="rect">
          <a:avLst/>
        </a:prstGeom>
      </xdr:spPr>
    </xdr:pic>
    <xdr:clientData/>
  </xdr:oneCellAnchor>
  <xdr:oneCellAnchor>
    <xdr:from>
      <xdr:col>13</xdr:col>
      <xdr:colOff>327822</xdr:colOff>
      <xdr:row>2</xdr:row>
      <xdr:rowOff>0</xdr:rowOff>
    </xdr:from>
    <xdr:ext cx="317513" cy="298751"/>
    <xdr:pic>
      <xdr:nvPicPr>
        <xdr:cNvPr id="10" name="Grafik 9">
          <a:extLst>
            <a:ext uri="{FF2B5EF4-FFF2-40B4-BE49-F238E27FC236}">
              <a16:creationId xmlns:a16="http://schemas.microsoft.com/office/drawing/2014/main" id="{3663FFAF-AB2D-4A28-B061-C9DA70992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0522" y="571500"/>
          <a:ext cx="317513" cy="298751"/>
        </a:xfrm>
        <a:prstGeom prst="rect">
          <a:avLst/>
        </a:prstGeom>
      </xdr:spPr>
    </xdr:pic>
    <xdr:clientData/>
  </xdr:oneCellAnchor>
  <xdr:oneCellAnchor>
    <xdr:from>
      <xdr:col>12</xdr:col>
      <xdr:colOff>327818</xdr:colOff>
      <xdr:row>2</xdr:row>
      <xdr:rowOff>1</xdr:rowOff>
    </xdr:from>
    <xdr:ext cx="317516" cy="298750"/>
    <xdr:pic>
      <xdr:nvPicPr>
        <xdr:cNvPr id="11" name="Grafik 10">
          <a:extLst>
            <a:ext uri="{FF2B5EF4-FFF2-40B4-BE49-F238E27FC236}">
              <a16:creationId xmlns:a16="http://schemas.microsoft.com/office/drawing/2014/main" id="{A644E201-DB02-4709-BDCB-A739D0CF7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0318" y="571501"/>
          <a:ext cx="317516" cy="298750"/>
        </a:xfrm>
        <a:prstGeom prst="rect">
          <a:avLst/>
        </a:prstGeom>
      </xdr:spPr>
    </xdr:pic>
    <xdr:clientData/>
  </xdr:oneCellAnchor>
  <xdr:oneCellAnchor>
    <xdr:from>
      <xdr:col>11</xdr:col>
      <xdr:colOff>327820</xdr:colOff>
      <xdr:row>2</xdr:row>
      <xdr:rowOff>0</xdr:rowOff>
    </xdr:from>
    <xdr:ext cx="317516" cy="298751"/>
    <xdr:pic>
      <xdr:nvPicPr>
        <xdr:cNvPr id="12" name="Grafik 11">
          <a:extLst>
            <a:ext uri="{FF2B5EF4-FFF2-40B4-BE49-F238E27FC236}">
              <a16:creationId xmlns:a16="http://schemas.microsoft.com/office/drawing/2014/main" id="{F5F17093-8D25-4B3E-BC40-44A92DB7C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0120" y="571500"/>
          <a:ext cx="317516" cy="298751"/>
        </a:xfrm>
        <a:prstGeom prst="rect">
          <a:avLst/>
        </a:prstGeom>
      </xdr:spPr>
    </xdr:pic>
    <xdr:clientData/>
  </xdr:oneCellAnchor>
  <xdr:oneCellAnchor>
    <xdr:from>
      <xdr:col>10</xdr:col>
      <xdr:colOff>327820</xdr:colOff>
      <xdr:row>2</xdr:row>
      <xdr:rowOff>1</xdr:rowOff>
    </xdr:from>
    <xdr:ext cx="317516" cy="298751"/>
    <xdr:pic>
      <xdr:nvPicPr>
        <xdr:cNvPr id="13" name="Grafik 12">
          <a:extLst>
            <a:ext uri="{FF2B5EF4-FFF2-40B4-BE49-F238E27FC236}">
              <a16:creationId xmlns:a16="http://schemas.microsoft.com/office/drawing/2014/main" id="{67773D57-684B-40F2-8DF8-4771325EA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920" y="571501"/>
          <a:ext cx="317516" cy="298751"/>
        </a:xfrm>
        <a:prstGeom prst="rect">
          <a:avLst/>
        </a:prstGeom>
      </xdr:spPr>
    </xdr:pic>
    <xdr:clientData/>
  </xdr:oneCellAnchor>
  <xdr:oneCellAnchor>
    <xdr:from>
      <xdr:col>9</xdr:col>
      <xdr:colOff>327820</xdr:colOff>
      <xdr:row>2</xdr:row>
      <xdr:rowOff>0</xdr:rowOff>
    </xdr:from>
    <xdr:ext cx="317516" cy="299305"/>
    <xdr:pic>
      <xdr:nvPicPr>
        <xdr:cNvPr id="14" name="Grafik 13">
          <a:extLst>
            <a:ext uri="{FF2B5EF4-FFF2-40B4-BE49-F238E27FC236}">
              <a16:creationId xmlns:a16="http://schemas.microsoft.com/office/drawing/2014/main" id="{067BBB57-18A9-452F-BCF1-64584D6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9720" y="571500"/>
          <a:ext cx="317516" cy="29930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2382</xdr:rowOff>
    </xdr:from>
    <xdr:ext cx="315648" cy="296856"/>
    <xdr:pic>
      <xdr:nvPicPr>
        <xdr:cNvPr id="15" name="Grafik 14">
          <a:extLst>
            <a:ext uri="{FF2B5EF4-FFF2-40B4-BE49-F238E27FC236}">
              <a16:creationId xmlns:a16="http://schemas.microsoft.com/office/drawing/2014/main" id="{A639BA78-C913-4005-A20A-73F1B88EA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0" y="573882"/>
          <a:ext cx="315648" cy="2968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DEE7-FB74-480F-B903-F315005A3F9E}">
  <sheetPr>
    <tabColor rgb="FF993366"/>
    <pageSetUpPr fitToPage="1"/>
  </sheetPr>
  <dimension ref="A1:AM158"/>
  <sheetViews>
    <sheetView tabSelected="1" zoomScale="75" zoomScaleNormal="75" workbookViewId="0">
      <pane ySplit="4" topLeftCell="A5" activePane="bottomLeft" state="frozen"/>
      <selection pane="bottomLeft" sqref="A1:AL1"/>
    </sheetView>
  </sheetViews>
  <sheetFormatPr baseColWidth="10" defaultColWidth="0" defaultRowHeight="15" zeroHeight="1" x14ac:dyDescent="0.2"/>
  <cols>
    <col min="1" max="1" width="18.77734375" customWidth="1"/>
    <col min="2" max="2" width="6.77734375" customWidth="1"/>
    <col min="3" max="3" width="5.77734375" customWidth="1"/>
    <col min="4" max="16" width="3.77734375" customWidth="1"/>
    <col min="17" max="20" width="7.77734375" customWidth="1"/>
    <col min="21" max="21" width="8.77734375" customWidth="1"/>
    <col min="22" max="27" width="7.77734375" customWidth="1"/>
    <col min="28" max="28" width="10.77734375" customWidth="1"/>
    <col min="29" max="30" width="7.77734375" customWidth="1"/>
    <col min="31" max="31" width="8.77734375" customWidth="1"/>
    <col min="32" max="33" width="9.77734375" customWidth="1"/>
    <col min="34" max="34" width="11.77734375" customWidth="1"/>
    <col min="35" max="35" width="10.77734375" customWidth="1"/>
    <col min="36" max="36" width="8.77734375" customWidth="1"/>
    <col min="37" max="37" width="9.77734375" customWidth="1"/>
    <col min="38" max="38" width="10.77734375" customWidth="1"/>
    <col min="39" max="39" width="0.88671875" customWidth="1"/>
    <col min="40" max="16384" width="11.5546875" hidden="1"/>
  </cols>
  <sheetData>
    <row r="1" spans="1:38" s="5" customFormat="1" ht="30" customHeight="1" thickTop="1" thickBot="1" x14ac:dyDescent="0.25">
      <c r="A1" s="208" t="s">
        <v>107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10"/>
    </row>
    <row r="2" spans="1:38" ht="20.100000000000001" customHeight="1" thickTop="1" thickBot="1" x14ac:dyDescent="0.25">
      <c r="A2" s="217" t="s">
        <v>106</v>
      </c>
      <c r="B2" s="220" t="s">
        <v>464</v>
      </c>
      <c r="C2" s="230" t="s">
        <v>291</v>
      </c>
      <c r="D2" s="226" t="s">
        <v>471</v>
      </c>
      <c r="E2" s="204"/>
      <c r="F2" s="204"/>
      <c r="G2" s="204"/>
      <c r="H2" s="204"/>
      <c r="I2" s="227"/>
      <c r="J2" s="223" t="s">
        <v>146</v>
      </c>
      <c r="K2" s="224"/>
      <c r="L2" s="224"/>
      <c r="M2" s="224"/>
      <c r="N2" s="224"/>
      <c r="O2" s="224"/>
      <c r="P2" s="225"/>
      <c r="Q2" s="226" t="s">
        <v>527</v>
      </c>
      <c r="R2" s="204"/>
      <c r="S2" s="204"/>
      <c r="T2" s="204"/>
      <c r="U2" s="227"/>
      <c r="V2" s="198" t="s">
        <v>105</v>
      </c>
      <c r="W2" s="199"/>
      <c r="X2" s="199"/>
      <c r="Y2" s="200"/>
      <c r="Z2" s="211" t="s">
        <v>230</v>
      </c>
      <c r="AA2" s="212"/>
      <c r="AB2" s="212"/>
      <c r="AC2" s="212"/>
      <c r="AD2" s="212"/>
      <c r="AE2" s="213"/>
      <c r="AF2" s="232" t="s">
        <v>465</v>
      </c>
      <c r="AG2" s="233"/>
      <c r="AH2" s="204" t="s">
        <v>136</v>
      </c>
      <c r="AI2" s="204"/>
      <c r="AJ2" s="204"/>
      <c r="AK2" s="204"/>
      <c r="AL2" s="205"/>
    </row>
    <row r="3" spans="1:38" ht="24" customHeight="1" thickBot="1" x14ac:dyDescent="0.25">
      <c r="A3" s="218"/>
      <c r="B3" s="221"/>
      <c r="C3" s="221"/>
      <c r="D3" s="228"/>
      <c r="E3" s="206"/>
      <c r="F3" s="206"/>
      <c r="G3" s="206"/>
      <c r="H3" s="206"/>
      <c r="I3" s="229"/>
      <c r="J3" s="104"/>
      <c r="K3" s="104"/>
      <c r="L3" s="104"/>
      <c r="M3" s="104"/>
      <c r="N3" s="104"/>
      <c r="O3" s="104"/>
      <c r="P3" s="104"/>
      <c r="Q3" s="228"/>
      <c r="R3" s="206"/>
      <c r="S3" s="206"/>
      <c r="T3" s="206"/>
      <c r="U3" s="229"/>
      <c r="V3" s="201"/>
      <c r="W3" s="202"/>
      <c r="X3" s="202"/>
      <c r="Y3" s="203"/>
      <c r="Z3" s="214"/>
      <c r="AA3" s="215"/>
      <c r="AB3" s="215"/>
      <c r="AC3" s="215"/>
      <c r="AD3" s="215"/>
      <c r="AE3" s="216"/>
      <c r="AF3" s="234"/>
      <c r="AG3" s="235"/>
      <c r="AH3" s="206"/>
      <c r="AI3" s="206"/>
      <c r="AJ3" s="206"/>
      <c r="AK3" s="206"/>
      <c r="AL3" s="207"/>
    </row>
    <row r="4" spans="1:38" ht="39.950000000000003" customHeight="1" thickBot="1" x14ac:dyDescent="0.25">
      <c r="A4" s="219"/>
      <c r="B4" s="222"/>
      <c r="C4" s="231"/>
      <c r="D4" s="172" t="s">
        <v>104</v>
      </c>
      <c r="E4" s="173" t="s">
        <v>103</v>
      </c>
      <c r="F4" s="173" t="s">
        <v>102</v>
      </c>
      <c r="G4" s="173" t="s">
        <v>101</v>
      </c>
      <c r="H4" s="173" t="s">
        <v>451</v>
      </c>
      <c r="I4" s="174" t="s">
        <v>100</v>
      </c>
      <c r="J4" s="172" t="s">
        <v>472</v>
      </c>
      <c r="K4" s="173" t="s">
        <v>473</v>
      </c>
      <c r="L4" s="173" t="s">
        <v>474</v>
      </c>
      <c r="M4" s="173" t="s">
        <v>96</v>
      </c>
      <c r="N4" s="173" t="s">
        <v>95</v>
      </c>
      <c r="O4" s="173" t="s">
        <v>94</v>
      </c>
      <c r="P4" s="174" t="s">
        <v>93</v>
      </c>
      <c r="Q4" s="175" t="s">
        <v>207</v>
      </c>
      <c r="R4" s="176" t="s">
        <v>447</v>
      </c>
      <c r="S4" s="176" t="s">
        <v>206</v>
      </c>
      <c r="T4" s="176" t="s">
        <v>448</v>
      </c>
      <c r="U4" s="177" t="s">
        <v>86</v>
      </c>
      <c r="V4" s="178" t="s">
        <v>85</v>
      </c>
      <c r="W4" s="179" t="s">
        <v>461</v>
      </c>
      <c r="X4" s="179" t="s">
        <v>462</v>
      </c>
      <c r="Y4" s="180" t="s">
        <v>463</v>
      </c>
      <c r="Z4" s="178" t="s">
        <v>144</v>
      </c>
      <c r="AA4" s="179" t="s">
        <v>145</v>
      </c>
      <c r="AB4" s="179" t="s">
        <v>478</v>
      </c>
      <c r="AC4" s="179" t="s">
        <v>468</v>
      </c>
      <c r="AD4" s="179" t="s">
        <v>469</v>
      </c>
      <c r="AE4" s="180" t="s">
        <v>229</v>
      </c>
      <c r="AF4" s="181" t="s">
        <v>466</v>
      </c>
      <c r="AG4" s="182" t="s">
        <v>467</v>
      </c>
      <c r="AH4" s="183" t="s">
        <v>450</v>
      </c>
      <c r="AI4" s="179" t="s">
        <v>92</v>
      </c>
      <c r="AJ4" s="179" t="s">
        <v>298</v>
      </c>
      <c r="AK4" s="179" t="s">
        <v>91</v>
      </c>
      <c r="AL4" s="184" t="s">
        <v>449</v>
      </c>
    </row>
    <row r="5" spans="1:38" ht="35.1" customHeight="1" thickTop="1" x14ac:dyDescent="0.2">
      <c r="A5" s="169" t="s">
        <v>499</v>
      </c>
      <c r="B5" s="170" t="s">
        <v>8</v>
      </c>
      <c r="C5" s="171">
        <v>0</v>
      </c>
      <c r="D5" s="6" t="s">
        <v>135</v>
      </c>
      <c r="E5" s="7"/>
      <c r="F5" s="7"/>
      <c r="G5" s="7"/>
      <c r="H5" s="7"/>
      <c r="I5" s="8"/>
      <c r="J5" s="6"/>
      <c r="K5" s="7"/>
      <c r="L5" s="7" t="s">
        <v>135</v>
      </c>
      <c r="M5" s="7"/>
      <c r="N5" s="7" t="s">
        <v>135</v>
      </c>
      <c r="O5" s="7"/>
      <c r="P5" s="8"/>
      <c r="Q5" s="123">
        <v>705</v>
      </c>
      <c r="R5" s="124">
        <v>45</v>
      </c>
      <c r="S5" s="124">
        <v>0</v>
      </c>
      <c r="T5" s="124">
        <v>0</v>
      </c>
      <c r="U5" s="125" t="s">
        <v>161</v>
      </c>
      <c r="V5" s="126" t="s">
        <v>83</v>
      </c>
      <c r="W5" s="127">
        <v>3</v>
      </c>
      <c r="X5" s="128">
        <v>3</v>
      </c>
      <c r="Y5" s="129" t="s">
        <v>80</v>
      </c>
      <c r="Z5" s="130">
        <v>1</v>
      </c>
      <c r="AA5" s="131">
        <v>2</v>
      </c>
      <c r="AB5" s="132" t="s">
        <v>196</v>
      </c>
      <c r="AC5" s="133" t="s">
        <v>177</v>
      </c>
      <c r="AD5" s="134" t="s">
        <v>177</v>
      </c>
      <c r="AE5" s="135" t="s">
        <v>80</v>
      </c>
      <c r="AF5" s="136">
        <v>15</v>
      </c>
      <c r="AG5" s="137">
        <v>15</v>
      </c>
      <c r="AH5" s="136">
        <v>2.5</v>
      </c>
      <c r="AI5" s="138">
        <v>15</v>
      </c>
      <c r="AJ5" s="139" t="s">
        <v>280</v>
      </c>
      <c r="AK5" s="65">
        <v>3</v>
      </c>
      <c r="AL5" s="66">
        <v>32</v>
      </c>
    </row>
    <row r="6" spans="1:38" ht="35.1" customHeight="1" x14ac:dyDescent="0.2">
      <c r="A6" s="120" t="s">
        <v>304</v>
      </c>
      <c r="B6" s="121" t="s">
        <v>0</v>
      </c>
      <c r="C6" s="114">
        <v>0</v>
      </c>
      <c r="D6" s="6" t="s">
        <v>135</v>
      </c>
      <c r="E6" s="7"/>
      <c r="F6" s="7"/>
      <c r="G6" s="7"/>
      <c r="H6" s="7"/>
      <c r="I6" s="8"/>
      <c r="J6" s="6" t="s">
        <v>135</v>
      </c>
      <c r="K6" s="7"/>
      <c r="L6" s="7" t="s">
        <v>135</v>
      </c>
      <c r="M6" s="7"/>
      <c r="N6" s="7"/>
      <c r="O6" s="7"/>
      <c r="P6" s="8" t="s">
        <v>135</v>
      </c>
      <c r="Q6" s="123">
        <v>2151</v>
      </c>
      <c r="R6" s="124">
        <v>0</v>
      </c>
      <c r="S6" s="124">
        <v>148</v>
      </c>
      <c r="T6" s="124">
        <v>0</v>
      </c>
      <c r="U6" s="125" t="s">
        <v>460</v>
      </c>
      <c r="V6" s="126" t="s">
        <v>80</v>
      </c>
      <c r="W6" s="127">
        <v>4</v>
      </c>
      <c r="X6" s="128">
        <v>2</v>
      </c>
      <c r="Y6" s="129" t="s">
        <v>80</v>
      </c>
      <c r="Z6" s="130">
        <v>3</v>
      </c>
      <c r="AA6" s="131">
        <v>15</v>
      </c>
      <c r="AB6" s="132" t="s">
        <v>82</v>
      </c>
      <c r="AC6" s="133" t="s">
        <v>139</v>
      </c>
      <c r="AD6" s="134" t="s">
        <v>138</v>
      </c>
      <c r="AE6" s="135" t="s">
        <v>80</v>
      </c>
      <c r="AF6" s="136">
        <v>65</v>
      </c>
      <c r="AG6" s="137">
        <v>65</v>
      </c>
      <c r="AH6" s="136">
        <v>15</v>
      </c>
      <c r="AI6" s="138" t="s">
        <v>137</v>
      </c>
      <c r="AJ6" s="139">
        <v>1</v>
      </c>
      <c r="AK6" s="65">
        <v>22</v>
      </c>
      <c r="AL6" s="66">
        <v>108</v>
      </c>
    </row>
    <row r="7" spans="1:38" ht="35.1" customHeight="1" x14ac:dyDescent="0.2">
      <c r="A7" s="120" t="s">
        <v>81</v>
      </c>
      <c r="B7" s="121" t="s">
        <v>6</v>
      </c>
      <c r="C7" s="114">
        <v>0</v>
      </c>
      <c r="D7" s="6" t="s">
        <v>135</v>
      </c>
      <c r="E7" s="7"/>
      <c r="F7" s="7"/>
      <c r="G7" s="7"/>
      <c r="H7" s="7"/>
      <c r="I7" s="8"/>
      <c r="J7" s="6"/>
      <c r="K7" s="7"/>
      <c r="L7" s="7" t="s">
        <v>135</v>
      </c>
      <c r="M7" s="7"/>
      <c r="N7" s="7"/>
      <c r="O7" s="7"/>
      <c r="P7" s="8" t="s">
        <v>135</v>
      </c>
      <c r="Q7" s="123">
        <v>675</v>
      </c>
      <c r="R7" s="124">
        <v>0</v>
      </c>
      <c r="S7" s="124">
        <v>0</v>
      </c>
      <c r="T7" s="124">
        <v>0</v>
      </c>
      <c r="U7" s="125" t="s">
        <v>156</v>
      </c>
      <c r="V7" s="126" t="s">
        <v>80</v>
      </c>
      <c r="W7" s="127">
        <v>2</v>
      </c>
      <c r="X7" s="128">
        <v>1.25</v>
      </c>
      <c r="Y7" s="129" t="s">
        <v>80</v>
      </c>
      <c r="Z7" s="130">
        <v>1</v>
      </c>
      <c r="AA7" s="131">
        <v>8</v>
      </c>
      <c r="AB7" s="132" t="s">
        <v>158</v>
      </c>
      <c r="AC7" s="133" t="s">
        <v>159</v>
      </c>
      <c r="AD7" s="134" t="s">
        <v>159</v>
      </c>
      <c r="AE7" s="135" t="s">
        <v>80</v>
      </c>
      <c r="AF7" s="136">
        <v>46</v>
      </c>
      <c r="AG7" s="137">
        <v>46</v>
      </c>
      <c r="AH7" s="136">
        <v>3</v>
      </c>
      <c r="AI7" s="138" t="s">
        <v>137</v>
      </c>
      <c r="AJ7" s="139" t="s">
        <v>157</v>
      </c>
      <c r="AK7" s="65">
        <v>1</v>
      </c>
      <c r="AL7" s="66">
        <v>12</v>
      </c>
    </row>
    <row r="8" spans="1:38" ht="35.1" customHeight="1" x14ac:dyDescent="0.2">
      <c r="A8" s="120" t="s">
        <v>79</v>
      </c>
      <c r="B8" s="121" t="s">
        <v>0</v>
      </c>
      <c r="C8" s="114">
        <v>0</v>
      </c>
      <c r="D8" s="6" t="s">
        <v>135</v>
      </c>
      <c r="E8" s="7"/>
      <c r="F8" s="7"/>
      <c r="G8" s="7"/>
      <c r="H8" s="7"/>
      <c r="I8" s="8"/>
      <c r="J8" s="6"/>
      <c r="K8" s="7"/>
      <c r="L8" s="7" t="s">
        <v>135</v>
      </c>
      <c r="M8" s="7"/>
      <c r="N8" s="7"/>
      <c r="O8" s="7"/>
      <c r="P8" s="8" t="s">
        <v>135</v>
      </c>
      <c r="Q8" s="123">
        <v>1162</v>
      </c>
      <c r="R8" s="124">
        <v>0</v>
      </c>
      <c r="S8" s="124">
        <v>0</v>
      </c>
      <c r="T8" s="124">
        <v>0</v>
      </c>
      <c r="U8" s="125" t="s">
        <v>156</v>
      </c>
      <c r="V8" s="126" t="s">
        <v>80</v>
      </c>
      <c r="W8" s="127">
        <v>2</v>
      </c>
      <c r="X8" s="128">
        <v>1.25</v>
      </c>
      <c r="Y8" s="129" t="s">
        <v>80</v>
      </c>
      <c r="Z8" s="130">
        <v>2</v>
      </c>
      <c r="AA8" s="131">
        <v>27</v>
      </c>
      <c r="AB8" s="132" t="s">
        <v>170</v>
      </c>
      <c r="AC8" s="133" t="s">
        <v>171</v>
      </c>
      <c r="AD8" s="134" t="s">
        <v>171</v>
      </c>
      <c r="AE8" s="135" t="s">
        <v>80</v>
      </c>
      <c r="AF8" s="136">
        <v>11</v>
      </c>
      <c r="AG8" s="137">
        <v>11</v>
      </c>
      <c r="AH8" s="136">
        <v>2</v>
      </c>
      <c r="AI8" s="138">
        <v>10</v>
      </c>
      <c r="AJ8" s="139" t="s">
        <v>169</v>
      </c>
      <c r="AK8" s="65">
        <v>2</v>
      </c>
      <c r="AL8" s="66">
        <v>14</v>
      </c>
    </row>
    <row r="9" spans="1:38" ht="35.1" customHeight="1" x14ac:dyDescent="0.2">
      <c r="A9" s="120" t="s">
        <v>78</v>
      </c>
      <c r="B9" s="121" t="s">
        <v>8</v>
      </c>
      <c r="C9" s="114">
        <v>0</v>
      </c>
      <c r="D9" s="6" t="s">
        <v>135</v>
      </c>
      <c r="E9" s="7"/>
      <c r="F9" s="7"/>
      <c r="G9" s="7"/>
      <c r="H9" s="7"/>
      <c r="I9" s="8"/>
      <c r="J9" s="6"/>
      <c r="K9" s="7"/>
      <c r="L9" s="7"/>
      <c r="M9" s="7"/>
      <c r="N9" s="7" t="s">
        <v>135</v>
      </c>
      <c r="O9" s="7"/>
      <c r="P9" s="8"/>
      <c r="Q9" s="123">
        <v>230</v>
      </c>
      <c r="R9" s="124">
        <v>0</v>
      </c>
      <c r="S9" s="124">
        <v>0</v>
      </c>
      <c r="T9" s="124">
        <v>0</v>
      </c>
      <c r="U9" s="125" t="s">
        <v>172</v>
      </c>
      <c r="V9" s="126" t="s">
        <v>80</v>
      </c>
      <c r="W9" s="127">
        <v>1</v>
      </c>
      <c r="X9" s="128">
        <v>0.5</v>
      </c>
      <c r="Y9" s="129" t="s">
        <v>80</v>
      </c>
      <c r="Z9" s="130">
        <v>1</v>
      </c>
      <c r="AA9" s="131">
        <v>4</v>
      </c>
      <c r="AB9" s="132" t="s">
        <v>173</v>
      </c>
      <c r="AC9" s="133" t="s">
        <v>159</v>
      </c>
      <c r="AD9" s="134" t="s">
        <v>174</v>
      </c>
      <c r="AE9" s="135" t="s">
        <v>83</v>
      </c>
      <c r="AF9" s="136">
        <v>119</v>
      </c>
      <c r="AG9" s="137">
        <v>119</v>
      </c>
      <c r="AH9" s="136">
        <v>25</v>
      </c>
      <c r="AI9" s="138" t="s">
        <v>137</v>
      </c>
      <c r="AJ9" s="139" t="s">
        <v>175</v>
      </c>
      <c r="AK9" s="65">
        <v>8</v>
      </c>
      <c r="AL9" s="66">
        <v>24</v>
      </c>
    </row>
    <row r="10" spans="1:38" ht="35.1" customHeight="1" x14ac:dyDescent="0.2">
      <c r="A10" s="120" t="s">
        <v>500</v>
      </c>
      <c r="B10" s="121" t="s">
        <v>12</v>
      </c>
      <c r="C10" s="114">
        <v>18</v>
      </c>
      <c r="D10" s="6"/>
      <c r="E10" s="7"/>
      <c r="F10" s="7"/>
      <c r="G10" s="7"/>
      <c r="H10" s="7"/>
      <c r="I10" s="8" t="s">
        <v>135</v>
      </c>
      <c r="J10" s="6"/>
      <c r="K10" s="7" t="s">
        <v>135</v>
      </c>
      <c r="L10" s="7" t="s">
        <v>135</v>
      </c>
      <c r="M10" s="7" t="s">
        <v>135</v>
      </c>
      <c r="N10" s="7"/>
      <c r="O10" s="7"/>
      <c r="P10" s="8"/>
      <c r="Q10" s="123">
        <v>325</v>
      </c>
      <c r="R10" s="124">
        <v>0</v>
      </c>
      <c r="S10" s="124">
        <v>0</v>
      </c>
      <c r="T10" s="124">
        <v>0</v>
      </c>
      <c r="U10" s="125" t="s">
        <v>501</v>
      </c>
      <c r="V10" s="126" t="s">
        <v>80</v>
      </c>
      <c r="W10" s="127">
        <v>2</v>
      </c>
      <c r="X10" s="128">
        <v>1.25</v>
      </c>
      <c r="Y10" s="129" t="s">
        <v>80</v>
      </c>
      <c r="Z10" s="130">
        <v>3</v>
      </c>
      <c r="AA10" s="131">
        <v>40</v>
      </c>
      <c r="AB10" s="132" t="s">
        <v>284</v>
      </c>
      <c r="AC10" s="133" t="s">
        <v>202</v>
      </c>
      <c r="AD10" s="134" t="s">
        <v>202</v>
      </c>
      <c r="AE10" s="135" t="s">
        <v>526</v>
      </c>
      <c r="AF10" s="136">
        <v>20</v>
      </c>
      <c r="AG10" s="137">
        <v>20</v>
      </c>
      <c r="AH10" s="136">
        <v>3</v>
      </c>
      <c r="AI10" s="138">
        <v>18</v>
      </c>
      <c r="AJ10" s="139" t="s">
        <v>177</v>
      </c>
      <c r="AK10" s="65">
        <v>11</v>
      </c>
      <c r="AL10" s="66">
        <v>0</v>
      </c>
    </row>
    <row r="11" spans="1:38" ht="35.1" customHeight="1" x14ac:dyDescent="0.2">
      <c r="A11" s="120" t="s">
        <v>305</v>
      </c>
      <c r="B11" s="121" t="s">
        <v>6</v>
      </c>
      <c r="C11" s="114">
        <v>9</v>
      </c>
      <c r="D11" s="6"/>
      <c r="E11" s="7"/>
      <c r="F11" s="7" t="s">
        <v>135</v>
      </c>
      <c r="G11" s="7"/>
      <c r="H11" s="7"/>
      <c r="I11" s="8"/>
      <c r="J11" s="6"/>
      <c r="K11" s="7"/>
      <c r="L11" s="7"/>
      <c r="M11" s="7" t="s">
        <v>135</v>
      </c>
      <c r="N11" s="7"/>
      <c r="O11" s="7"/>
      <c r="P11" s="8"/>
      <c r="Q11" s="123">
        <v>390</v>
      </c>
      <c r="R11" s="124">
        <v>0</v>
      </c>
      <c r="S11" s="124">
        <v>0</v>
      </c>
      <c r="T11" s="124">
        <v>0</v>
      </c>
      <c r="U11" s="125" t="s">
        <v>328</v>
      </c>
      <c r="V11" s="126" t="s">
        <v>80</v>
      </c>
      <c r="W11" s="127">
        <v>2</v>
      </c>
      <c r="X11" s="128">
        <v>1.25</v>
      </c>
      <c r="Y11" s="129" t="s">
        <v>80</v>
      </c>
      <c r="Z11" s="130">
        <v>2</v>
      </c>
      <c r="AA11" s="131">
        <v>20</v>
      </c>
      <c r="AB11" s="132" t="s">
        <v>329</v>
      </c>
      <c r="AC11" s="133" t="s">
        <v>175</v>
      </c>
      <c r="AD11" s="134" t="s">
        <v>330</v>
      </c>
      <c r="AE11" s="135" t="s">
        <v>80</v>
      </c>
      <c r="AF11" s="136">
        <v>21</v>
      </c>
      <c r="AG11" s="137">
        <v>21</v>
      </c>
      <c r="AH11" s="136">
        <v>2</v>
      </c>
      <c r="AI11" s="138">
        <v>15</v>
      </c>
      <c r="AJ11" s="139" t="s">
        <v>177</v>
      </c>
      <c r="AK11" s="65">
        <v>6</v>
      </c>
      <c r="AL11" s="66">
        <v>12</v>
      </c>
    </row>
    <row r="12" spans="1:38" ht="35.1" customHeight="1" x14ac:dyDescent="0.2">
      <c r="A12" s="120" t="s">
        <v>502</v>
      </c>
      <c r="B12" s="121" t="s">
        <v>12</v>
      </c>
      <c r="C12" s="114">
        <v>18</v>
      </c>
      <c r="D12" s="6"/>
      <c r="E12" s="7"/>
      <c r="F12" s="7"/>
      <c r="G12" s="7" t="s">
        <v>135</v>
      </c>
      <c r="H12" s="7"/>
      <c r="I12" s="8"/>
      <c r="J12" s="6"/>
      <c r="K12" s="7" t="s">
        <v>135</v>
      </c>
      <c r="L12" s="7" t="s">
        <v>135</v>
      </c>
      <c r="M12" s="7"/>
      <c r="N12" s="7"/>
      <c r="O12" s="7"/>
      <c r="P12" s="8" t="s">
        <v>135</v>
      </c>
      <c r="Q12" s="123">
        <v>500</v>
      </c>
      <c r="R12" s="124">
        <v>0</v>
      </c>
      <c r="S12" s="124">
        <v>0</v>
      </c>
      <c r="T12" s="124">
        <v>0</v>
      </c>
      <c r="U12" s="125" t="s">
        <v>396</v>
      </c>
      <c r="V12" s="126" t="s">
        <v>80</v>
      </c>
      <c r="W12" s="127">
        <v>3</v>
      </c>
      <c r="X12" s="128">
        <v>1.25</v>
      </c>
      <c r="Y12" s="129" t="s">
        <v>80</v>
      </c>
      <c r="Z12" s="130">
        <v>1</v>
      </c>
      <c r="AA12" s="131">
        <v>6</v>
      </c>
      <c r="AB12" s="132" t="s">
        <v>191</v>
      </c>
      <c r="AC12" s="133" t="s">
        <v>169</v>
      </c>
      <c r="AD12" s="134" t="s">
        <v>169</v>
      </c>
      <c r="AE12" s="135" t="s">
        <v>526</v>
      </c>
      <c r="AF12" s="136">
        <v>35</v>
      </c>
      <c r="AG12" s="137">
        <v>35</v>
      </c>
      <c r="AH12" s="136">
        <v>2.5</v>
      </c>
      <c r="AI12" s="138" t="s">
        <v>137</v>
      </c>
      <c r="AJ12" s="139" t="s">
        <v>177</v>
      </c>
      <c r="AK12" s="65">
        <v>12</v>
      </c>
      <c r="AL12" s="66">
        <v>12</v>
      </c>
    </row>
    <row r="13" spans="1:38" ht="35.1" customHeight="1" x14ac:dyDescent="0.2">
      <c r="A13" s="120" t="s">
        <v>306</v>
      </c>
      <c r="B13" s="121" t="s">
        <v>6</v>
      </c>
      <c r="C13" s="114">
        <v>8</v>
      </c>
      <c r="D13" s="6"/>
      <c r="E13" s="7"/>
      <c r="F13" s="7"/>
      <c r="G13" s="7" t="s">
        <v>135</v>
      </c>
      <c r="H13" s="7"/>
      <c r="I13" s="8"/>
      <c r="J13" s="6" t="s">
        <v>135</v>
      </c>
      <c r="K13" s="7" t="s">
        <v>135</v>
      </c>
      <c r="L13" s="7" t="s">
        <v>135</v>
      </c>
      <c r="M13" s="7" t="s">
        <v>135</v>
      </c>
      <c r="N13" s="7"/>
      <c r="O13" s="7"/>
      <c r="P13" s="8"/>
      <c r="Q13" s="123">
        <v>480</v>
      </c>
      <c r="R13" s="124">
        <v>0</v>
      </c>
      <c r="S13" s="124">
        <v>335</v>
      </c>
      <c r="T13" s="124">
        <v>65</v>
      </c>
      <c r="U13" s="125" t="s">
        <v>331</v>
      </c>
      <c r="V13" s="126" t="s">
        <v>80</v>
      </c>
      <c r="W13" s="127">
        <v>2</v>
      </c>
      <c r="X13" s="128">
        <v>1.5</v>
      </c>
      <c r="Y13" s="129" t="s">
        <v>80</v>
      </c>
      <c r="Z13" s="130">
        <v>2</v>
      </c>
      <c r="AA13" s="131">
        <v>8</v>
      </c>
      <c r="AB13" s="132" t="s">
        <v>262</v>
      </c>
      <c r="AC13" s="133" t="s">
        <v>187</v>
      </c>
      <c r="AD13" s="134" t="s">
        <v>187</v>
      </c>
      <c r="AE13" s="135" t="s">
        <v>83</v>
      </c>
      <c r="AF13" s="136">
        <v>15</v>
      </c>
      <c r="AG13" s="137">
        <v>15</v>
      </c>
      <c r="AH13" s="136">
        <v>2</v>
      </c>
      <c r="AI13" s="138" t="s">
        <v>137</v>
      </c>
      <c r="AJ13" s="139" t="s">
        <v>157</v>
      </c>
      <c r="AK13" s="65">
        <v>2</v>
      </c>
      <c r="AL13" s="66">
        <v>12</v>
      </c>
    </row>
    <row r="14" spans="1:38" ht="35.1" customHeight="1" x14ac:dyDescent="0.2">
      <c r="A14" s="120" t="s">
        <v>77</v>
      </c>
      <c r="B14" s="121" t="s">
        <v>17</v>
      </c>
      <c r="C14" s="114">
        <v>0</v>
      </c>
      <c r="D14" s="6"/>
      <c r="E14" s="7"/>
      <c r="F14" s="7"/>
      <c r="G14" s="7" t="s">
        <v>135</v>
      </c>
      <c r="H14" s="7"/>
      <c r="I14" s="8"/>
      <c r="J14" s="6"/>
      <c r="K14" s="7"/>
      <c r="L14" s="7" t="s">
        <v>135</v>
      </c>
      <c r="M14" s="7" t="s">
        <v>135</v>
      </c>
      <c r="N14" s="7"/>
      <c r="O14" s="7"/>
      <c r="P14" s="8"/>
      <c r="Q14" s="123">
        <v>420</v>
      </c>
      <c r="R14" s="124">
        <v>0</v>
      </c>
      <c r="S14" s="124">
        <v>0</v>
      </c>
      <c r="T14" s="124">
        <v>0</v>
      </c>
      <c r="U14" s="125" t="s">
        <v>332</v>
      </c>
      <c r="V14" s="126" t="s">
        <v>80</v>
      </c>
      <c r="W14" s="127">
        <v>3</v>
      </c>
      <c r="X14" s="128">
        <v>1.25</v>
      </c>
      <c r="Y14" s="129" t="s">
        <v>80</v>
      </c>
      <c r="Z14" s="130">
        <v>3</v>
      </c>
      <c r="AA14" s="131">
        <v>15</v>
      </c>
      <c r="AB14" s="132" t="s">
        <v>82</v>
      </c>
      <c r="AC14" s="133" t="s">
        <v>138</v>
      </c>
      <c r="AD14" s="134" t="s">
        <v>138</v>
      </c>
      <c r="AE14" s="135" t="s">
        <v>80</v>
      </c>
      <c r="AF14" s="136">
        <v>26</v>
      </c>
      <c r="AG14" s="137">
        <v>26</v>
      </c>
      <c r="AH14" s="136">
        <v>5</v>
      </c>
      <c r="AI14" s="138">
        <v>25</v>
      </c>
      <c r="AJ14" s="139">
        <v>1</v>
      </c>
      <c r="AK14" s="65">
        <v>10</v>
      </c>
      <c r="AL14" s="66">
        <v>12</v>
      </c>
    </row>
    <row r="15" spans="1:38" ht="35.1" customHeight="1" x14ac:dyDescent="0.2">
      <c r="A15" s="120" t="s">
        <v>373</v>
      </c>
      <c r="B15" s="121" t="s">
        <v>2</v>
      </c>
      <c r="C15" s="114">
        <v>11</v>
      </c>
      <c r="D15" s="6"/>
      <c r="E15" s="7" t="s">
        <v>135</v>
      </c>
      <c r="F15" s="7"/>
      <c r="G15" s="7"/>
      <c r="H15" s="7"/>
      <c r="I15" s="8"/>
      <c r="J15" s="6"/>
      <c r="K15" s="7" t="s">
        <v>135</v>
      </c>
      <c r="L15" s="7"/>
      <c r="M15" s="7" t="s">
        <v>135</v>
      </c>
      <c r="N15" s="7"/>
      <c r="O15" s="7"/>
      <c r="P15" s="8"/>
      <c r="Q15" s="123">
        <v>705</v>
      </c>
      <c r="R15" s="124">
        <v>45</v>
      </c>
      <c r="S15" s="124">
        <v>0</v>
      </c>
      <c r="T15" s="124">
        <v>0</v>
      </c>
      <c r="U15" s="125" t="s">
        <v>374</v>
      </c>
      <c r="V15" s="126" t="s">
        <v>83</v>
      </c>
      <c r="W15" s="127">
        <v>3</v>
      </c>
      <c r="X15" s="128">
        <v>3</v>
      </c>
      <c r="Y15" s="129" t="s">
        <v>80</v>
      </c>
      <c r="Z15" s="130">
        <v>1</v>
      </c>
      <c r="AA15" s="131">
        <v>2</v>
      </c>
      <c r="AB15" s="132" t="s">
        <v>196</v>
      </c>
      <c r="AC15" s="133" t="s">
        <v>177</v>
      </c>
      <c r="AD15" s="134" t="s">
        <v>177</v>
      </c>
      <c r="AE15" s="135" t="s">
        <v>80</v>
      </c>
      <c r="AF15" s="136">
        <v>15</v>
      </c>
      <c r="AG15" s="137">
        <v>15</v>
      </c>
      <c r="AH15" s="136">
        <v>3</v>
      </c>
      <c r="AI15" s="138">
        <v>15</v>
      </c>
      <c r="AJ15" s="139" t="s">
        <v>162</v>
      </c>
      <c r="AK15" s="65">
        <v>3</v>
      </c>
      <c r="AL15" s="66">
        <v>33</v>
      </c>
    </row>
    <row r="16" spans="1:38" ht="35.1" customHeight="1" x14ac:dyDescent="0.2">
      <c r="A16" s="120" t="s">
        <v>419</v>
      </c>
      <c r="B16" s="121" t="s">
        <v>6</v>
      </c>
      <c r="C16" s="114">
        <v>14</v>
      </c>
      <c r="D16" s="6"/>
      <c r="E16" s="7" t="s">
        <v>135</v>
      </c>
      <c r="F16" s="7"/>
      <c r="G16" s="7"/>
      <c r="H16" s="7"/>
      <c r="I16" s="8"/>
      <c r="J16" s="6" t="s">
        <v>135</v>
      </c>
      <c r="K16" s="7"/>
      <c r="L16" s="7" t="s">
        <v>135</v>
      </c>
      <c r="M16" s="7"/>
      <c r="N16" s="7" t="s">
        <v>135</v>
      </c>
      <c r="O16" s="7"/>
      <c r="P16" s="8"/>
      <c r="Q16" s="123">
        <v>280</v>
      </c>
      <c r="R16" s="124">
        <v>0</v>
      </c>
      <c r="S16" s="124">
        <v>75</v>
      </c>
      <c r="T16" s="124">
        <v>0</v>
      </c>
      <c r="U16" s="125" t="s">
        <v>198</v>
      </c>
      <c r="V16" s="126" t="s">
        <v>80</v>
      </c>
      <c r="W16" s="127">
        <v>2</v>
      </c>
      <c r="X16" s="128">
        <v>1</v>
      </c>
      <c r="Y16" s="129" t="s">
        <v>80</v>
      </c>
      <c r="Z16" s="130">
        <v>1</v>
      </c>
      <c r="AA16" s="131">
        <v>2</v>
      </c>
      <c r="AB16" s="132" t="s">
        <v>196</v>
      </c>
      <c r="AC16" s="133" t="s">
        <v>177</v>
      </c>
      <c r="AD16" s="134" t="s">
        <v>177</v>
      </c>
      <c r="AE16" s="135" t="s">
        <v>80</v>
      </c>
      <c r="AF16" s="136">
        <v>18</v>
      </c>
      <c r="AG16" s="137">
        <v>18</v>
      </c>
      <c r="AH16" s="136">
        <v>3</v>
      </c>
      <c r="AI16" s="138" t="s">
        <v>137</v>
      </c>
      <c r="AJ16" s="139" t="s">
        <v>175</v>
      </c>
      <c r="AK16" s="65">
        <v>8</v>
      </c>
      <c r="AL16" s="66">
        <v>24</v>
      </c>
    </row>
    <row r="17" spans="1:38" ht="35.1" customHeight="1" x14ac:dyDescent="0.2">
      <c r="A17" s="120" t="s">
        <v>76</v>
      </c>
      <c r="B17" s="121" t="s">
        <v>8</v>
      </c>
      <c r="C17" s="114">
        <v>6</v>
      </c>
      <c r="D17" s="6"/>
      <c r="E17" s="7" t="s">
        <v>135</v>
      </c>
      <c r="F17" s="7"/>
      <c r="G17" s="7"/>
      <c r="H17" s="7"/>
      <c r="I17" s="8"/>
      <c r="J17" s="6"/>
      <c r="K17" s="7" t="s">
        <v>135</v>
      </c>
      <c r="L17" s="7"/>
      <c r="M17" s="7"/>
      <c r="N17" s="7" t="s">
        <v>135</v>
      </c>
      <c r="O17" s="7"/>
      <c r="P17" s="8"/>
      <c r="Q17" s="123">
        <v>182</v>
      </c>
      <c r="R17" s="124">
        <v>40</v>
      </c>
      <c r="S17" s="124">
        <v>0</v>
      </c>
      <c r="T17" s="124">
        <v>0</v>
      </c>
      <c r="U17" s="125" t="s">
        <v>161</v>
      </c>
      <c r="V17" s="126" t="s">
        <v>83</v>
      </c>
      <c r="W17" s="127">
        <v>2</v>
      </c>
      <c r="X17" s="128">
        <v>3</v>
      </c>
      <c r="Y17" s="129" t="s">
        <v>80</v>
      </c>
      <c r="Z17" s="130">
        <v>2</v>
      </c>
      <c r="AA17" s="131">
        <v>5</v>
      </c>
      <c r="AB17" s="132" t="s">
        <v>163</v>
      </c>
      <c r="AC17" s="133" t="s">
        <v>164</v>
      </c>
      <c r="AD17" s="134" t="s">
        <v>164</v>
      </c>
      <c r="AE17" s="135" t="s">
        <v>83</v>
      </c>
      <c r="AF17" s="136">
        <v>22</v>
      </c>
      <c r="AG17" s="137">
        <v>22</v>
      </c>
      <c r="AH17" s="136">
        <v>1.5</v>
      </c>
      <c r="AI17" s="138">
        <v>15</v>
      </c>
      <c r="AJ17" s="139" t="s">
        <v>162</v>
      </c>
      <c r="AK17" s="65">
        <v>3</v>
      </c>
      <c r="AL17" s="66">
        <v>12</v>
      </c>
    </row>
    <row r="18" spans="1:38" ht="35.1" customHeight="1" x14ac:dyDescent="0.2">
      <c r="A18" s="120" t="s">
        <v>75</v>
      </c>
      <c r="B18" s="121" t="s">
        <v>6</v>
      </c>
      <c r="C18" s="114">
        <v>0</v>
      </c>
      <c r="D18" s="6"/>
      <c r="E18" s="7" t="s">
        <v>135</v>
      </c>
      <c r="F18" s="7"/>
      <c r="G18" s="7"/>
      <c r="H18" s="7"/>
      <c r="I18" s="8"/>
      <c r="J18" s="6"/>
      <c r="K18" s="7" t="s">
        <v>135</v>
      </c>
      <c r="L18" s="7" t="s">
        <v>135</v>
      </c>
      <c r="M18" s="7"/>
      <c r="N18" s="7" t="s">
        <v>135</v>
      </c>
      <c r="O18" s="7"/>
      <c r="P18" s="8"/>
      <c r="Q18" s="123">
        <v>312</v>
      </c>
      <c r="R18" s="124">
        <v>0</v>
      </c>
      <c r="S18" s="124">
        <v>0</v>
      </c>
      <c r="T18" s="124">
        <v>0</v>
      </c>
      <c r="U18" s="125" t="s">
        <v>180</v>
      </c>
      <c r="V18" s="126" t="s">
        <v>80</v>
      </c>
      <c r="W18" s="127">
        <v>1</v>
      </c>
      <c r="X18" s="128">
        <v>1.25</v>
      </c>
      <c r="Y18" s="129" t="s">
        <v>80</v>
      </c>
      <c r="Z18" s="167">
        <v>4</v>
      </c>
      <c r="AA18" s="168">
        <v>20</v>
      </c>
      <c r="AB18" s="132" t="s">
        <v>181</v>
      </c>
      <c r="AC18" s="133" t="s">
        <v>183</v>
      </c>
      <c r="AD18" s="134" t="s">
        <v>182</v>
      </c>
      <c r="AE18" s="135" t="s">
        <v>526</v>
      </c>
      <c r="AF18" s="136">
        <v>23</v>
      </c>
      <c r="AG18" s="137">
        <v>23</v>
      </c>
      <c r="AH18" s="136">
        <v>3</v>
      </c>
      <c r="AI18" s="138" t="s">
        <v>137</v>
      </c>
      <c r="AJ18" s="139" t="s">
        <v>184</v>
      </c>
      <c r="AK18" s="65">
        <v>1</v>
      </c>
      <c r="AL18" s="66">
        <v>12</v>
      </c>
    </row>
    <row r="19" spans="1:38" ht="35.1" customHeight="1" x14ac:dyDescent="0.2">
      <c r="A19" s="120" t="s">
        <v>74</v>
      </c>
      <c r="B19" s="121" t="s">
        <v>17</v>
      </c>
      <c r="C19" s="114">
        <v>0</v>
      </c>
      <c r="D19" s="6" t="s">
        <v>135</v>
      </c>
      <c r="E19" s="7"/>
      <c r="F19" s="7"/>
      <c r="G19" s="7"/>
      <c r="H19" s="7"/>
      <c r="I19" s="8"/>
      <c r="J19" s="6"/>
      <c r="K19" s="7"/>
      <c r="L19" s="7"/>
      <c r="M19" s="7"/>
      <c r="N19" s="7" t="s">
        <v>135</v>
      </c>
      <c r="O19" s="7"/>
      <c r="P19" s="8"/>
      <c r="Q19" s="123">
        <v>240</v>
      </c>
      <c r="R19" s="124">
        <v>0</v>
      </c>
      <c r="S19" s="124">
        <v>0</v>
      </c>
      <c r="T19" s="124">
        <v>0</v>
      </c>
      <c r="U19" s="125" t="s">
        <v>188</v>
      </c>
      <c r="V19" s="126" t="s">
        <v>80</v>
      </c>
      <c r="W19" s="127">
        <v>2</v>
      </c>
      <c r="X19" s="128">
        <v>1.25</v>
      </c>
      <c r="Y19" s="129" t="s">
        <v>80</v>
      </c>
      <c r="Z19" s="167">
        <v>1</v>
      </c>
      <c r="AA19" s="168">
        <v>5</v>
      </c>
      <c r="AB19" s="132" t="s">
        <v>179</v>
      </c>
      <c r="AC19" s="133" t="s">
        <v>177</v>
      </c>
      <c r="AD19" s="134" t="s">
        <v>157</v>
      </c>
      <c r="AE19" s="135" t="s">
        <v>80</v>
      </c>
      <c r="AF19" s="136">
        <v>18</v>
      </c>
      <c r="AG19" s="137">
        <v>18</v>
      </c>
      <c r="AH19" s="136">
        <v>2</v>
      </c>
      <c r="AI19" s="138" t="s">
        <v>137</v>
      </c>
      <c r="AJ19" s="139">
        <v>1</v>
      </c>
      <c r="AK19" s="65">
        <v>9</v>
      </c>
      <c r="AL19" s="66">
        <v>24</v>
      </c>
    </row>
    <row r="20" spans="1:38" s="122" customFormat="1" ht="35.1" customHeight="1" x14ac:dyDescent="0.2">
      <c r="A20" s="112" t="s">
        <v>73</v>
      </c>
      <c r="B20" s="67" t="s">
        <v>0</v>
      </c>
      <c r="C20" s="114">
        <v>0</v>
      </c>
      <c r="D20" s="6" t="s">
        <v>135</v>
      </c>
      <c r="E20" s="7"/>
      <c r="F20" s="7"/>
      <c r="G20" s="7"/>
      <c r="H20" s="7"/>
      <c r="I20" s="8"/>
      <c r="J20" s="6"/>
      <c r="K20" s="7"/>
      <c r="L20" s="7"/>
      <c r="M20" s="7"/>
      <c r="N20" s="7" t="s">
        <v>135</v>
      </c>
      <c r="O20" s="7"/>
      <c r="P20" s="8"/>
      <c r="Q20" s="123">
        <v>780</v>
      </c>
      <c r="R20" s="124">
        <v>80</v>
      </c>
      <c r="S20" s="124">
        <v>0</v>
      </c>
      <c r="T20" s="124">
        <v>0</v>
      </c>
      <c r="U20" s="125" t="s">
        <v>188</v>
      </c>
      <c r="V20" s="126" t="s">
        <v>83</v>
      </c>
      <c r="W20" s="127">
        <v>3</v>
      </c>
      <c r="X20" s="128">
        <v>5</v>
      </c>
      <c r="Y20" s="129" t="s">
        <v>384</v>
      </c>
      <c r="Z20" s="167">
        <v>3</v>
      </c>
      <c r="AA20" s="168">
        <v>10</v>
      </c>
      <c r="AB20" s="132" t="s">
        <v>189</v>
      </c>
      <c r="AC20" s="133" t="s">
        <v>190</v>
      </c>
      <c r="AD20" s="134" t="s">
        <v>190</v>
      </c>
      <c r="AE20" s="135" t="s">
        <v>80</v>
      </c>
      <c r="AF20" s="136">
        <v>40</v>
      </c>
      <c r="AG20" s="137">
        <v>40</v>
      </c>
      <c r="AH20" s="136">
        <v>11</v>
      </c>
      <c r="AI20" s="138">
        <v>50</v>
      </c>
      <c r="AJ20" s="139">
        <v>1</v>
      </c>
      <c r="AK20" s="65">
        <v>8</v>
      </c>
      <c r="AL20" s="66">
        <v>60</v>
      </c>
    </row>
    <row r="21" spans="1:38" ht="35.1" customHeight="1" x14ac:dyDescent="0.2">
      <c r="A21" s="112" t="s">
        <v>72</v>
      </c>
      <c r="B21" s="67" t="s">
        <v>2</v>
      </c>
      <c r="C21" s="114">
        <v>0</v>
      </c>
      <c r="D21" s="9"/>
      <c r="E21" s="10" t="s">
        <v>135</v>
      </c>
      <c r="F21" s="10"/>
      <c r="G21" s="10"/>
      <c r="H21" s="10"/>
      <c r="I21" s="11"/>
      <c r="J21" s="9"/>
      <c r="K21" s="10"/>
      <c r="L21" s="10"/>
      <c r="M21" s="10"/>
      <c r="N21" s="10" t="s">
        <v>135</v>
      </c>
      <c r="O21" s="10"/>
      <c r="P21" s="11"/>
      <c r="Q21" s="12">
        <v>780</v>
      </c>
      <c r="R21" s="13">
        <v>120</v>
      </c>
      <c r="S21" s="13">
        <v>0</v>
      </c>
      <c r="T21" s="13">
        <v>0</v>
      </c>
      <c r="U21" s="14" t="s">
        <v>188</v>
      </c>
      <c r="V21" s="31" t="s">
        <v>83</v>
      </c>
      <c r="W21" s="3">
        <v>3</v>
      </c>
      <c r="X21" s="32">
        <v>5</v>
      </c>
      <c r="Y21" s="2" t="s">
        <v>384</v>
      </c>
      <c r="Z21" s="33">
        <v>1</v>
      </c>
      <c r="AA21" s="34">
        <v>6</v>
      </c>
      <c r="AB21" s="40" t="s">
        <v>191</v>
      </c>
      <c r="AC21" s="1" t="s">
        <v>177</v>
      </c>
      <c r="AD21" s="116" t="s">
        <v>169</v>
      </c>
      <c r="AE21" s="39" t="s">
        <v>80</v>
      </c>
      <c r="AF21" s="52">
        <v>44</v>
      </c>
      <c r="AG21" s="106">
        <v>44</v>
      </c>
      <c r="AH21" s="52">
        <v>13</v>
      </c>
      <c r="AI21" s="53" t="s">
        <v>137</v>
      </c>
      <c r="AJ21" s="27">
        <v>1</v>
      </c>
      <c r="AK21" s="54">
        <v>8</v>
      </c>
      <c r="AL21" s="55">
        <v>96</v>
      </c>
    </row>
    <row r="22" spans="1:38" ht="35.1" customHeight="1" x14ac:dyDescent="0.2">
      <c r="A22" s="113" t="s">
        <v>71</v>
      </c>
      <c r="B22" s="67" t="s">
        <v>6</v>
      </c>
      <c r="C22" s="114">
        <v>5</v>
      </c>
      <c r="D22" s="9"/>
      <c r="E22" s="10"/>
      <c r="F22" s="10"/>
      <c r="G22" s="10"/>
      <c r="H22" s="10"/>
      <c r="I22" s="11" t="s">
        <v>135</v>
      </c>
      <c r="J22" s="9" t="s">
        <v>135</v>
      </c>
      <c r="K22" s="10" t="s">
        <v>135</v>
      </c>
      <c r="L22" s="10" t="s">
        <v>135</v>
      </c>
      <c r="M22" s="10"/>
      <c r="N22" s="10" t="s">
        <v>135</v>
      </c>
      <c r="O22" s="10"/>
      <c r="P22" s="11"/>
      <c r="Q22" s="12">
        <v>182</v>
      </c>
      <c r="R22" s="13">
        <v>0</v>
      </c>
      <c r="S22" s="13">
        <v>79</v>
      </c>
      <c r="T22" s="13">
        <v>0</v>
      </c>
      <c r="U22" s="14" t="s">
        <v>195</v>
      </c>
      <c r="V22" s="31" t="s">
        <v>80</v>
      </c>
      <c r="W22" s="3">
        <v>2</v>
      </c>
      <c r="X22" s="32">
        <v>1.5</v>
      </c>
      <c r="Y22" s="2" t="s">
        <v>80</v>
      </c>
      <c r="Z22" s="33">
        <v>1</v>
      </c>
      <c r="AA22" s="34">
        <v>2</v>
      </c>
      <c r="AB22" s="40" t="s">
        <v>196</v>
      </c>
      <c r="AC22" s="1" t="s">
        <v>177</v>
      </c>
      <c r="AD22" s="116" t="s">
        <v>177</v>
      </c>
      <c r="AE22" s="39" t="s">
        <v>80</v>
      </c>
      <c r="AF22" s="52">
        <v>50</v>
      </c>
      <c r="AG22" s="106">
        <v>50</v>
      </c>
      <c r="AH22" s="52">
        <v>10</v>
      </c>
      <c r="AI22" s="53" t="s">
        <v>137</v>
      </c>
      <c r="AJ22" s="27" t="s">
        <v>197</v>
      </c>
      <c r="AK22" s="54">
        <v>3</v>
      </c>
      <c r="AL22" s="55">
        <v>12</v>
      </c>
    </row>
    <row r="23" spans="1:38" ht="35.1" customHeight="1" x14ac:dyDescent="0.2">
      <c r="A23" s="113" t="s">
        <v>295</v>
      </c>
      <c r="B23" s="67" t="s">
        <v>17</v>
      </c>
      <c r="C23" s="114">
        <v>7</v>
      </c>
      <c r="D23" s="9" t="s">
        <v>135</v>
      </c>
      <c r="E23" s="10"/>
      <c r="F23" s="10"/>
      <c r="G23" s="10"/>
      <c r="H23" s="10"/>
      <c r="I23" s="11"/>
      <c r="J23" s="9"/>
      <c r="K23" s="10"/>
      <c r="L23" s="10" t="s">
        <v>135</v>
      </c>
      <c r="M23" s="10"/>
      <c r="N23" s="10"/>
      <c r="O23" s="10"/>
      <c r="P23" s="11"/>
      <c r="Q23" s="12">
        <v>1275</v>
      </c>
      <c r="R23" s="13">
        <v>0</v>
      </c>
      <c r="S23" s="13">
        <v>0</v>
      </c>
      <c r="T23" s="13">
        <v>0</v>
      </c>
      <c r="U23" s="14" t="s">
        <v>297</v>
      </c>
      <c r="V23" s="31" t="s">
        <v>80</v>
      </c>
      <c r="W23" s="3">
        <v>4</v>
      </c>
      <c r="X23" s="32">
        <v>2</v>
      </c>
      <c r="Y23" s="2" t="s">
        <v>80</v>
      </c>
      <c r="Z23" s="33">
        <v>1</v>
      </c>
      <c r="AA23" s="34">
        <v>5</v>
      </c>
      <c r="AB23" s="40" t="s">
        <v>179</v>
      </c>
      <c r="AC23" s="1" t="s">
        <v>159</v>
      </c>
      <c r="AD23" s="116" t="s">
        <v>157</v>
      </c>
      <c r="AE23" s="2" t="s">
        <v>80</v>
      </c>
      <c r="AF23" s="52">
        <v>43</v>
      </c>
      <c r="AG23" s="106">
        <v>43</v>
      </c>
      <c r="AH23" s="52">
        <v>5</v>
      </c>
      <c r="AI23" s="53">
        <v>46</v>
      </c>
      <c r="AJ23" s="27" t="s">
        <v>177</v>
      </c>
      <c r="AK23" s="54">
        <v>18</v>
      </c>
      <c r="AL23" s="55">
        <v>60</v>
      </c>
    </row>
    <row r="24" spans="1:38" ht="35.1" customHeight="1" x14ac:dyDescent="0.2">
      <c r="A24" s="113" t="s">
        <v>503</v>
      </c>
      <c r="B24" s="67" t="s">
        <v>8</v>
      </c>
      <c r="C24" s="114">
        <v>19</v>
      </c>
      <c r="D24" s="9"/>
      <c r="E24" s="10"/>
      <c r="F24" s="10"/>
      <c r="G24" s="10"/>
      <c r="H24" s="10"/>
      <c r="I24" s="11" t="s">
        <v>135</v>
      </c>
      <c r="J24" s="9"/>
      <c r="K24" s="10"/>
      <c r="L24" s="10" t="s">
        <v>135</v>
      </c>
      <c r="M24" s="10" t="s">
        <v>135</v>
      </c>
      <c r="N24" s="10" t="s">
        <v>135</v>
      </c>
      <c r="O24" s="10" t="s">
        <v>135</v>
      </c>
      <c r="P24" s="11"/>
      <c r="Q24" s="12">
        <v>850</v>
      </c>
      <c r="R24" s="13">
        <v>64</v>
      </c>
      <c r="S24" s="13">
        <v>0</v>
      </c>
      <c r="T24" s="13">
        <v>0</v>
      </c>
      <c r="U24" s="14" t="s">
        <v>504</v>
      </c>
      <c r="V24" s="31" t="s">
        <v>83</v>
      </c>
      <c r="W24" s="3">
        <v>4</v>
      </c>
      <c r="X24" s="32">
        <v>3</v>
      </c>
      <c r="Y24" s="2" t="s">
        <v>80</v>
      </c>
      <c r="Z24" s="16">
        <v>1</v>
      </c>
      <c r="AA24" s="17">
        <v>2</v>
      </c>
      <c r="AB24" s="40" t="s">
        <v>196</v>
      </c>
      <c r="AC24" s="1" t="s">
        <v>177</v>
      </c>
      <c r="AD24" s="116" t="s">
        <v>177</v>
      </c>
      <c r="AE24" s="39" t="s">
        <v>80</v>
      </c>
      <c r="AF24" s="52">
        <v>25</v>
      </c>
      <c r="AG24" s="106">
        <v>25</v>
      </c>
      <c r="AH24" s="52">
        <v>6</v>
      </c>
      <c r="AI24" s="53">
        <v>25</v>
      </c>
      <c r="AJ24" s="27" t="s">
        <v>159</v>
      </c>
      <c r="AK24" s="54">
        <v>7</v>
      </c>
      <c r="AL24" s="55">
        <v>17</v>
      </c>
    </row>
    <row r="25" spans="1:38" ht="35.1" customHeight="1" x14ac:dyDescent="0.2">
      <c r="A25" s="113" t="s">
        <v>293</v>
      </c>
      <c r="B25" s="67" t="s">
        <v>0</v>
      </c>
      <c r="C25" s="114">
        <v>7</v>
      </c>
      <c r="D25" s="9" t="s">
        <v>135</v>
      </c>
      <c r="E25" s="10"/>
      <c r="F25" s="10"/>
      <c r="G25" s="10"/>
      <c r="H25" s="10"/>
      <c r="I25" s="11"/>
      <c r="J25" s="9" t="s">
        <v>135</v>
      </c>
      <c r="K25" s="10"/>
      <c r="L25" s="10"/>
      <c r="M25" s="10"/>
      <c r="N25" s="10"/>
      <c r="O25" s="10"/>
      <c r="P25" s="11" t="s">
        <v>135</v>
      </c>
      <c r="Q25" s="12">
        <v>180</v>
      </c>
      <c r="R25" s="13">
        <v>0</v>
      </c>
      <c r="S25" s="13">
        <v>135</v>
      </c>
      <c r="T25" s="13">
        <v>67</v>
      </c>
      <c r="U25" s="14" t="s">
        <v>300</v>
      </c>
      <c r="V25" s="31" t="s">
        <v>80</v>
      </c>
      <c r="W25" s="3">
        <v>2</v>
      </c>
      <c r="X25" s="32">
        <v>1.5</v>
      </c>
      <c r="Y25" s="2" t="s">
        <v>80</v>
      </c>
      <c r="Z25" s="33">
        <v>6</v>
      </c>
      <c r="AA25" s="34">
        <v>500</v>
      </c>
      <c r="AB25" s="40" t="s">
        <v>250</v>
      </c>
      <c r="AC25" s="1" t="s">
        <v>251</v>
      </c>
      <c r="AD25" s="116" t="s">
        <v>251</v>
      </c>
      <c r="AE25" s="2" t="s">
        <v>83</v>
      </c>
      <c r="AF25" s="52">
        <v>27</v>
      </c>
      <c r="AG25" s="106">
        <v>27</v>
      </c>
      <c r="AH25" s="52">
        <v>4</v>
      </c>
      <c r="AI25" s="53">
        <v>14</v>
      </c>
      <c r="AJ25" s="27" t="s">
        <v>187</v>
      </c>
      <c r="AK25" s="54">
        <v>1</v>
      </c>
      <c r="AL25" s="55">
        <v>12</v>
      </c>
    </row>
    <row r="26" spans="1:38" ht="35.1" customHeight="1" x14ac:dyDescent="0.2">
      <c r="A26" s="113" t="s">
        <v>320</v>
      </c>
      <c r="B26" s="67" t="s">
        <v>6</v>
      </c>
      <c r="C26" s="114">
        <v>10</v>
      </c>
      <c r="D26" s="9"/>
      <c r="E26" s="10"/>
      <c r="F26" s="10"/>
      <c r="G26" s="10"/>
      <c r="H26" s="10"/>
      <c r="I26" s="11" t="s">
        <v>135</v>
      </c>
      <c r="J26" s="9" t="s">
        <v>135</v>
      </c>
      <c r="K26" s="10"/>
      <c r="L26" s="10" t="s">
        <v>135</v>
      </c>
      <c r="M26" s="10"/>
      <c r="N26" s="10" t="s">
        <v>135</v>
      </c>
      <c r="O26" s="10"/>
      <c r="P26" s="11"/>
      <c r="Q26" s="12">
        <v>285</v>
      </c>
      <c r="R26" s="13">
        <v>0</v>
      </c>
      <c r="S26" s="13">
        <v>70</v>
      </c>
      <c r="T26" s="13">
        <v>0</v>
      </c>
      <c r="U26" s="14" t="s">
        <v>161</v>
      </c>
      <c r="V26" s="31" t="s">
        <v>80</v>
      </c>
      <c r="W26" s="3">
        <v>2</v>
      </c>
      <c r="X26" s="32">
        <v>1.25</v>
      </c>
      <c r="Y26" s="2" t="s">
        <v>80</v>
      </c>
      <c r="Z26" s="16">
        <v>4</v>
      </c>
      <c r="AA26" s="17">
        <v>20</v>
      </c>
      <c r="AB26" s="40" t="s">
        <v>352</v>
      </c>
      <c r="AC26" s="1" t="s">
        <v>353</v>
      </c>
      <c r="AD26" s="116" t="s">
        <v>353</v>
      </c>
      <c r="AE26" s="2" t="s">
        <v>526</v>
      </c>
      <c r="AF26" s="52">
        <v>10</v>
      </c>
      <c r="AG26" s="106">
        <v>10</v>
      </c>
      <c r="AH26" s="52">
        <v>1.5</v>
      </c>
      <c r="AI26" s="53" t="s">
        <v>137</v>
      </c>
      <c r="AJ26" s="27" t="s">
        <v>184</v>
      </c>
      <c r="AK26" s="54">
        <v>5</v>
      </c>
      <c r="AL26" s="55">
        <v>12</v>
      </c>
    </row>
    <row r="27" spans="1:38" ht="35.1" customHeight="1" x14ac:dyDescent="0.2">
      <c r="A27" s="113" t="s">
        <v>70</v>
      </c>
      <c r="B27" s="67" t="s">
        <v>2</v>
      </c>
      <c r="C27" s="114">
        <v>0</v>
      </c>
      <c r="D27" s="9"/>
      <c r="E27" s="10" t="s">
        <v>135</v>
      </c>
      <c r="F27" s="10"/>
      <c r="G27" s="10"/>
      <c r="H27" s="10"/>
      <c r="I27" s="11"/>
      <c r="J27" s="9"/>
      <c r="K27" s="10" t="s">
        <v>135</v>
      </c>
      <c r="L27" s="10"/>
      <c r="M27" s="10"/>
      <c r="N27" s="10" t="s">
        <v>135</v>
      </c>
      <c r="O27" s="10"/>
      <c r="P27" s="11"/>
      <c r="Q27" s="12">
        <v>182</v>
      </c>
      <c r="R27" s="13">
        <v>0</v>
      </c>
      <c r="S27" s="13">
        <v>0</v>
      </c>
      <c r="T27" s="13">
        <v>0</v>
      </c>
      <c r="U27" s="14" t="s">
        <v>198</v>
      </c>
      <c r="V27" s="31" t="s">
        <v>83</v>
      </c>
      <c r="W27" s="3">
        <v>2</v>
      </c>
      <c r="X27" s="32">
        <v>2</v>
      </c>
      <c r="Y27" s="2" t="s">
        <v>80</v>
      </c>
      <c r="Z27" s="33">
        <v>1</v>
      </c>
      <c r="AA27" s="34">
        <v>3</v>
      </c>
      <c r="AB27" s="40" t="s">
        <v>199</v>
      </c>
      <c r="AC27" s="1" t="s">
        <v>162</v>
      </c>
      <c r="AD27" s="116" t="s">
        <v>162</v>
      </c>
      <c r="AE27" s="39" t="s">
        <v>83</v>
      </c>
      <c r="AF27" s="52">
        <v>13</v>
      </c>
      <c r="AG27" s="106">
        <v>13</v>
      </c>
      <c r="AH27" s="52">
        <v>1</v>
      </c>
      <c r="AI27" s="53" t="s">
        <v>137</v>
      </c>
      <c r="AJ27" s="27" t="s">
        <v>177</v>
      </c>
      <c r="AK27" s="54">
        <v>8</v>
      </c>
      <c r="AL27" s="55">
        <v>12</v>
      </c>
    </row>
    <row r="28" spans="1:38" ht="35.1" customHeight="1" x14ac:dyDescent="0.2">
      <c r="A28" s="113" t="s">
        <v>505</v>
      </c>
      <c r="B28" s="67" t="s">
        <v>2</v>
      </c>
      <c r="C28" s="114">
        <v>19</v>
      </c>
      <c r="D28" s="9" t="s">
        <v>135</v>
      </c>
      <c r="E28" s="10"/>
      <c r="F28" s="10"/>
      <c r="G28" s="10"/>
      <c r="H28" s="10"/>
      <c r="I28" s="11"/>
      <c r="J28" s="9"/>
      <c r="K28" s="10"/>
      <c r="L28" s="10"/>
      <c r="M28" s="10"/>
      <c r="N28" s="10" t="s">
        <v>135</v>
      </c>
      <c r="O28" s="10"/>
      <c r="P28" s="11"/>
      <c r="Q28" s="12">
        <v>215</v>
      </c>
      <c r="R28" s="13">
        <v>25</v>
      </c>
      <c r="S28" s="13">
        <v>0</v>
      </c>
      <c r="T28" s="13">
        <v>0</v>
      </c>
      <c r="U28" s="14" t="s">
        <v>506</v>
      </c>
      <c r="V28" s="31" t="s">
        <v>83</v>
      </c>
      <c r="W28" s="3">
        <v>2</v>
      </c>
      <c r="X28" s="32">
        <v>3</v>
      </c>
      <c r="Y28" s="2" t="s">
        <v>80</v>
      </c>
      <c r="Z28" s="16">
        <v>2</v>
      </c>
      <c r="AA28" s="17">
        <v>6</v>
      </c>
      <c r="AB28" s="40" t="s">
        <v>163</v>
      </c>
      <c r="AC28" s="1" t="s">
        <v>184</v>
      </c>
      <c r="AD28" s="116" t="s">
        <v>184</v>
      </c>
      <c r="AE28" s="39" t="s">
        <v>83</v>
      </c>
      <c r="AF28" s="52">
        <v>25</v>
      </c>
      <c r="AG28" s="106">
        <v>25</v>
      </c>
      <c r="AH28" s="52">
        <v>3</v>
      </c>
      <c r="AI28" s="53">
        <v>15</v>
      </c>
      <c r="AJ28" s="27" t="s">
        <v>177</v>
      </c>
      <c r="AK28" s="54">
        <v>5</v>
      </c>
      <c r="AL28" s="55">
        <v>6</v>
      </c>
    </row>
    <row r="29" spans="1:38" ht="35.1" customHeight="1" x14ac:dyDescent="0.2">
      <c r="A29" s="113" t="s">
        <v>69</v>
      </c>
      <c r="B29" s="67" t="s">
        <v>6</v>
      </c>
      <c r="C29" s="114">
        <v>2</v>
      </c>
      <c r="D29" s="9"/>
      <c r="E29" s="10"/>
      <c r="F29" s="10"/>
      <c r="G29" s="10" t="s">
        <v>135</v>
      </c>
      <c r="H29" s="10"/>
      <c r="I29" s="11"/>
      <c r="J29" s="9"/>
      <c r="K29" s="10"/>
      <c r="L29" s="10"/>
      <c r="M29" s="10" t="s">
        <v>135</v>
      </c>
      <c r="N29" s="10"/>
      <c r="O29" s="10" t="s">
        <v>135</v>
      </c>
      <c r="P29" s="11"/>
      <c r="Q29" s="12">
        <v>425</v>
      </c>
      <c r="R29" s="13">
        <v>0</v>
      </c>
      <c r="S29" s="13">
        <v>0</v>
      </c>
      <c r="T29" s="13">
        <v>0</v>
      </c>
      <c r="U29" s="14" t="s">
        <v>200</v>
      </c>
      <c r="V29" s="31" t="s">
        <v>80</v>
      </c>
      <c r="W29" s="3">
        <v>2</v>
      </c>
      <c r="X29" s="32">
        <v>1.25</v>
      </c>
      <c r="Y29" s="2" t="s">
        <v>80</v>
      </c>
      <c r="Z29" s="33">
        <v>3</v>
      </c>
      <c r="AA29" s="34">
        <v>40</v>
      </c>
      <c r="AB29" s="40" t="s">
        <v>201</v>
      </c>
      <c r="AC29" s="1" t="s">
        <v>138</v>
      </c>
      <c r="AD29" s="116" t="s">
        <v>202</v>
      </c>
      <c r="AE29" s="39" t="s">
        <v>80</v>
      </c>
      <c r="AF29" s="52">
        <v>18</v>
      </c>
      <c r="AG29" s="106">
        <v>18</v>
      </c>
      <c r="AH29" s="52">
        <v>5</v>
      </c>
      <c r="AI29" s="53" t="s">
        <v>137</v>
      </c>
      <c r="AJ29" s="27" t="s">
        <v>159</v>
      </c>
      <c r="AK29" s="54">
        <v>6</v>
      </c>
      <c r="AL29" s="55">
        <v>12</v>
      </c>
    </row>
    <row r="30" spans="1:38" ht="35.1" customHeight="1" x14ac:dyDescent="0.2">
      <c r="A30" s="113" t="s">
        <v>422</v>
      </c>
      <c r="B30" s="67" t="s">
        <v>2</v>
      </c>
      <c r="C30" s="114">
        <v>15</v>
      </c>
      <c r="D30" s="9" t="s">
        <v>135</v>
      </c>
      <c r="E30" s="10"/>
      <c r="F30" s="10"/>
      <c r="G30" s="10"/>
      <c r="H30" s="10"/>
      <c r="I30" s="11"/>
      <c r="J30" s="9"/>
      <c r="K30" s="10"/>
      <c r="L30" s="10" t="s">
        <v>135</v>
      </c>
      <c r="M30" s="10"/>
      <c r="N30" s="10"/>
      <c r="O30" s="10"/>
      <c r="P30" s="11" t="s">
        <v>135</v>
      </c>
      <c r="Q30" s="12">
        <v>425</v>
      </c>
      <c r="R30" s="13">
        <v>0</v>
      </c>
      <c r="S30" s="13">
        <v>0</v>
      </c>
      <c r="T30" s="13">
        <v>0</v>
      </c>
      <c r="U30" s="14" t="s">
        <v>300</v>
      </c>
      <c r="V30" s="31" t="s">
        <v>80</v>
      </c>
      <c r="W30" s="3">
        <v>2</v>
      </c>
      <c r="X30" s="32">
        <v>1.25</v>
      </c>
      <c r="Y30" s="2" t="s">
        <v>80</v>
      </c>
      <c r="Z30" s="16">
        <v>3</v>
      </c>
      <c r="AA30" s="17">
        <v>20</v>
      </c>
      <c r="AB30" s="40" t="s">
        <v>329</v>
      </c>
      <c r="AC30" s="1" t="s">
        <v>423</v>
      </c>
      <c r="AD30" s="116" t="s">
        <v>423</v>
      </c>
      <c r="AE30" s="39" t="s">
        <v>83</v>
      </c>
      <c r="AF30" s="52">
        <v>15</v>
      </c>
      <c r="AG30" s="106">
        <v>15</v>
      </c>
      <c r="AH30" s="52">
        <v>1.5</v>
      </c>
      <c r="AI30" s="53" t="s">
        <v>137</v>
      </c>
      <c r="AJ30" s="27" t="s">
        <v>177</v>
      </c>
      <c r="AK30" s="54">
        <v>6</v>
      </c>
      <c r="AL30" s="55">
        <v>12</v>
      </c>
    </row>
    <row r="31" spans="1:38" ht="35.1" customHeight="1" x14ac:dyDescent="0.2">
      <c r="A31" s="113" t="s">
        <v>308</v>
      </c>
      <c r="B31" s="67" t="s">
        <v>6</v>
      </c>
      <c r="C31" s="114">
        <v>9</v>
      </c>
      <c r="D31" s="9"/>
      <c r="E31" s="10"/>
      <c r="F31" s="10" t="s">
        <v>135</v>
      </c>
      <c r="G31" s="10"/>
      <c r="H31" s="10"/>
      <c r="I31" s="11"/>
      <c r="J31" s="9"/>
      <c r="K31" s="10" t="s">
        <v>135</v>
      </c>
      <c r="L31" s="10" t="s">
        <v>135</v>
      </c>
      <c r="M31" s="10"/>
      <c r="N31" s="10"/>
      <c r="O31" s="10"/>
      <c r="P31" s="11"/>
      <c r="Q31" s="12">
        <v>360</v>
      </c>
      <c r="R31" s="13">
        <v>0</v>
      </c>
      <c r="S31" s="13">
        <v>0</v>
      </c>
      <c r="T31" s="13">
        <v>0</v>
      </c>
      <c r="U31" s="14" t="s">
        <v>333</v>
      </c>
      <c r="V31" s="31" t="s">
        <v>80</v>
      </c>
      <c r="W31" s="3">
        <v>2</v>
      </c>
      <c r="X31" s="32">
        <v>1.25</v>
      </c>
      <c r="Y31" s="2" t="s">
        <v>80</v>
      </c>
      <c r="Z31" s="33">
        <v>3</v>
      </c>
      <c r="AA31" s="34">
        <v>16</v>
      </c>
      <c r="AB31" s="40" t="s">
        <v>344</v>
      </c>
      <c r="AC31" s="1" t="s">
        <v>225</v>
      </c>
      <c r="AD31" s="116" t="s">
        <v>138</v>
      </c>
      <c r="AE31" s="39" t="s">
        <v>526</v>
      </c>
      <c r="AF31" s="52">
        <v>15</v>
      </c>
      <c r="AG31" s="106">
        <v>18</v>
      </c>
      <c r="AH31" s="52">
        <v>4</v>
      </c>
      <c r="AI31" s="53" t="s">
        <v>137</v>
      </c>
      <c r="AJ31" s="27" t="s">
        <v>159</v>
      </c>
      <c r="AK31" s="54">
        <v>8</v>
      </c>
      <c r="AL31" s="55">
        <v>12</v>
      </c>
    </row>
    <row r="32" spans="1:38" ht="35.1" customHeight="1" x14ac:dyDescent="0.2">
      <c r="A32" s="113" t="s">
        <v>68</v>
      </c>
      <c r="B32" s="67" t="s">
        <v>8</v>
      </c>
      <c r="C32" s="114">
        <v>4</v>
      </c>
      <c r="D32" s="9"/>
      <c r="E32" s="10"/>
      <c r="F32" s="10"/>
      <c r="G32" s="10"/>
      <c r="H32" s="10" t="s">
        <v>135</v>
      </c>
      <c r="I32" s="11"/>
      <c r="J32" s="9"/>
      <c r="K32" s="10" t="s">
        <v>135</v>
      </c>
      <c r="L32" s="10" t="s">
        <v>135</v>
      </c>
      <c r="M32" s="10"/>
      <c r="N32" s="10" t="s">
        <v>135</v>
      </c>
      <c r="O32" s="10"/>
      <c r="P32" s="11" t="s">
        <v>135</v>
      </c>
      <c r="Q32" s="12">
        <v>1162</v>
      </c>
      <c r="R32" s="13">
        <v>0</v>
      </c>
      <c r="S32" s="13">
        <v>0</v>
      </c>
      <c r="T32" s="13">
        <v>0</v>
      </c>
      <c r="U32" s="14" t="s">
        <v>273</v>
      </c>
      <c r="V32" s="31" t="s">
        <v>80</v>
      </c>
      <c r="W32" s="3">
        <v>2</v>
      </c>
      <c r="X32" s="32">
        <v>1.25</v>
      </c>
      <c r="Y32" s="2" t="s">
        <v>80</v>
      </c>
      <c r="Z32" s="33">
        <v>2</v>
      </c>
      <c r="AA32" s="34">
        <v>12</v>
      </c>
      <c r="AB32" s="40" t="s">
        <v>209</v>
      </c>
      <c r="AC32" s="1" t="s">
        <v>210</v>
      </c>
      <c r="AD32" s="116" t="s">
        <v>210</v>
      </c>
      <c r="AE32" s="39" t="s">
        <v>80</v>
      </c>
      <c r="AF32" s="52">
        <v>18</v>
      </c>
      <c r="AG32" s="106">
        <v>18</v>
      </c>
      <c r="AH32" s="52">
        <v>3</v>
      </c>
      <c r="AI32" s="53" t="s">
        <v>137</v>
      </c>
      <c r="AJ32" s="27" t="s">
        <v>157</v>
      </c>
      <c r="AK32" s="54">
        <v>2</v>
      </c>
      <c r="AL32" s="55">
        <v>12</v>
      </c>
    </row>
    <row r="33" spans="1:38" ht="35.1" customHeight="1" x14ac:dyDescent="0.2">
      <c r="A33" s="113" t="s">
        <v>424</v>
      </c>
      <c r="B33" s="67" t="s">
        <v>12</v>
      </c>
      <c r="C33" s="114">
        <v>15</v>
      </c>
      <c r="D33" s="9" t="s">
        <v>135</v>
      </c>
      <c r="E33" s="10" t="s">
        <v>135</v>
      </c>
      <c r="F33" s="10"/>
      <c r="G33" s="10"/>
      <c r="H33" s="10"/>
      <c r="I33" s="11"/>
      <c r="J33" s="9"/>
      <c r="K33" s="10" t="s">
        <v>135</v>
      </c>
      <c r="L33" s="10" t="s">
        <v>135</v>
      </c>
      <c r="M33" s="10"/>
      <c r="N33" s="10"/>
      <c r="O33" s="10"/>
      <c r="P33" s="11" t="s">
        <v>135</v>
      </c>
      <c r="Q33" s="12">
        <v>600</v>
      </c>
      <c r="R33" s="13">
        <v>0</v>
      </c>
      <c r="S33" s="13">
        <v>0</v>
      </c>
      <c r="T33" s="13">
        <v>0</v>
      </c>
      <c r="U33" s="14" t="s">
        <v>425</v>
      </c>
      <c r="V33" s="31" t="s">
        <v>80</v>
      </c>
      <c r="W33" s="3">
        <v>3</v>
      </c>
      <c r="X33" s="32">
        <v>1.25</v>
      </c>
      <c r="Y33" s="2" t="s">
        <v>80</v>
      </c>
      <c r="Z33" s="16">
        <v>2</v>
      </c>
      <c r="AA33" s="17">
        <v>13</v>
      </c>
      <c r="AB33" s="40" t="s">
        <v>426</v>
      </c>
      <c r="AC33" s="1" t="s">
        <v>220</v>
      </c>
      <c r="AD33" s="116" t="s">
        <v>427</v>
      </c>
      <c r="AE33" s="39" t="s">
        <v>80</v>
      </c>
      <c r="AF33" s="52">
        <v>45</v>
      </c>
      <c r="AG33" s="106">
        <v>45</v>
      </c>
      <c r="AH33" s="52">
        <v>5</v>
      </c>
      <c r="AI33" s="53">
        <v>35</v>
      </c>
      <c r="AJ33" s="27" t="s">
        <v>177</v>
      </c>
      <c r="AK33" s="54">
        <v>15</v>
      </c>
      <c r="AL33" s="55">
        <v>24</v>
      </c>
    </row>
    <row r="34" spans="1:38" ht="35.1" customHeight="1" x14ac:dyDescent="0.2">
      <c r="A34" s="113" t="s">
        <v>67</v>
      </c>
      <c r="B34" s="67" t="s">
        <v>8</v>
      </c>
      <c r="C34" s="114">
        <v>2</v>
      </c>
      <c r="D34" s="9"/>
      <c r="E34" s="10"/>
      <c r="F34" s="10" t="s">
        <v>135</v>
      </c>
      <c r="G34" s="10" t="s">
        <v>135</v>
      </c>
      <c r="H34" s="10"/>
      <c r="I34" s="11"/>
      <c r="J34" s="9" t="s">
        <v>135</v>
      </c>
      <c r="K34" s="10"/>
      <c r="L34" s="10"/>
      <c r="M34" s="50" t="s">
        <v>135</v>
      </c>
      <c r="N34" s="10"/>
      <c r="O34" s="10" t="s">
        <v>135</v>
      </c>
      <c r="P34" s="11"/>
      <c r="Q34" s="12">
        <v>3250</v>
      </c>
      <c r="R34" s="13">
        <v>0</v>
      </c>
      <c r="S34" s="13">
        <v>720</v>
      </c>
      <c r="T34" s="13">
        <v>0</v>
      </c>
      <c r="U34" s="14" t="s">
        <v>334</v>
      </c>
      <c r="V34" s="31" t="s">
        <v>80</v>
      </c>
      <c r="W34" s="3">
        <v>4</v>
      </c>
      <c r="X34" s="32">
        <v>2</v>
      </c>
      <c r="Y34" s="2" t="s">
        <v>80</v>
      </c>
      <c r="Z34" s="33">
        <v>1</v>
      </c>
      <c r="AA34" s="34">
        <v>2</v>
      </c>
      <c r="AB34" s="40" t="s">
        <v>196</v>
      </c>
      <c r="AC34" s="1" t="s">
        <v>177</v>
      </c>
      <c r="AD34" s="116" t="s">
        <v>159</v>
      </c>
      <c r="AE34" s="39" t="s">
        <v>80</v>
      </c>
      <c r="AF34" s="52">
        <v>35</v>
      </c>
      <c r="AG34" s="106">
        <v>35</v>
      </c>
      <c r="AH34" s="52">
        <v>7</v>
      </c>
      <c r="AI34" s="53">
        <v>30</v>
      </c>
      <c r="AJ34" s="27" t="s">
        <v>162</v>
      </c>
      <c r="AK34" s="54">
        <v>9</v>
      </c>
      <c r="AL34" s="55">
        <v>36</v>
      </c>
    </row>
    <row r="35" spans="1:38" ht="35.1" customHeight="1" x14ac:dyDescent="0.2">
      <c r="A35" s="113" t="s">
        <v>309</v>
      </c>
      <c r="B35" s="67" t="s">
        <v>6</v>
      </c>
      <c r="C35" s="114">
        <v>8</v>
      </c>
      <c r="D35" s="9"/>
      <c r="E35" s="10" t="s">
        <v>135</v>
      </c>
      <c r="F35" s="10" t="s">
        <v>135</v>
      </c>
      <c r="G35" s="10" t="s">
        <v>135</v>
      </c>
      <c r="H35" s="10"/>
      <c r="I35" s="11"/>
      <c r="J35" s="9" t="s">
        <v>135</v>
      </c>
      <c r="K35" s="10" t="s">
        <v>135</v>
      </c>
      <c r="L35" s="10"/>
      <c r="M35" s="60" t="s">
        <v>135</v>
      </c>
      <c r="N35" s="10"/>
      <c r="O35" s="10" t="s">
        <v>135</v>
      </c>
      <c r="P35" s="11"/>
      <c r="Q35" s="12">
        <v>754</v>
      </c>
      <c r="R35" s="13">
        <v>0</v>
      </c>
      <c r="S35" s="13">
        <v>20</v>
      </c>
      <c r="T35" s="13">
        <v>0</v>
      </c>
      <c r="U35" s="14" t="s">
        <v>335</v>
      </c>
      <c r="V35" s="31" t="s">
        <v>80</v>
      </c>
      <c r="W35" s="3">
        <v>3</v>
      </c>
      <c r="X35" s="32">
        <v>1.25</v>
      </c>
      <c r="Y35" s="2" t="s">
        <v>80</v>
      </c>
      <c r="Z35" s="33">
        <v>1</v>
      </c>
      <c r="AA35" s="34">
        <v>4</v>
      </c>
      <c r="AB35" s="40" t="s">
        <v>173</v>
      </c>
      <c r="AC35" s="1" t="s">
        <v>177</v>
      </c>
      <c r="AD35" s="116" t="s">
        <v>174</v>
      </c>
      <c r="AE35" s="39" t="s">
        <v>80</v>
      </c>
      <c r="AF35" s="52">
        <v>20</v>
      </c>
      <c r="AG35" s="106">
        <v>20</v>
      </c>
      <c r="AH35" s="52">
        <v>2</v>
      </c>
      <c r="AI35" s="53" t="s">
        <v>137</v>
      </c>
      <c r="AJ35" s="27" t="s">
        <v>177</v>
      </c>
      <c r="AK35" s="54">
        <v>8</v>
      </c>
      <c r="AL35" s="55">
        <v>12</v>
      </c>
    </row>
    <row r="36" spans="1:38" ht="35.1" customHeight="1" x14ac:dyDescent="0.2">
      <c r="A36" s="113" t="s">
        <v>389</v>
      </c>
      <c r="B36" s="67" t="s">
        <v>6</v>
      </c>
      <c r="C36" s="114">
        <v>13</v>
      </c>
      <c r="D36" s="9"/>
      <c r="E36" s="10"/>
      <c r="F36" s="10"/>
      <c r="G36" s="10"/>
      <c r="H36" s="10" t="s">
        <v>135</v>
      </c>
      <c r="I36" s="11"/>
      <c r="J36" s="9"/>
      <c r="K36" s="10" t="s">
        <v>135</v>
      </c>
      <c r="L36" s="10" t="s">
        <v>135</v>
      </c>
      <c r="M36" s="60"/>
      <c r="N36" s="10" t="s">
        <v>135</v>
      </c>
      <c r="O36" s="10"/>
      <c r="P36" s="11" t="s">
        <v>135</v>
      </c>
      <c r="Q36" s="12">
        <v>450</v>
      </c>
      <c r="R36" s="13">
        <v>0</v>
      </c>
      <c r="S36" s="13">
        <v>0</v>
      </c>
      <c r="T36" s="13">
        <v>0</v>
      </c>
      <c r="U36" s="14" t="s">
        <v>300</v>
      </c>
      <c r="V36" s="31" t="s">
        <v>80</v>
      </c>
      <c r="W36" s="3">
        <v>2</v>
      </c>
      <c r="X36" s="32">
        <v>1.25</v>
      </c>
      <c r="Y36" s="2" t="s">
        <v>80</v>
      </c>
      <c r="Z36" s="33">
        <v>1</v>
      </c>
      <c r="AA36" s="34">
        <v>6</v>
      </c>
      <c r="AB36" s="40" t="s">
        <v>163</v>
      </c>
      <c r="AC36" s="1" t="s">
        <v>169</v>
      </c>
      <c r="AD36" s="116" t="s">
        <v>169</v>
      </c>
      <c r="AE36" s="39" t="s">
        <v>80</v>
      </c>
      <c r="AF36" s="52">
        <v>15</v>
      </c>
      <c r="AG36" s="106">
        <v>15</v>
      </c>
      <c r="AH36" s="52">
        <v>1.5</v>
      </c>
      <c r="AI36" s="53" t="s">
        <v>137</v>
      </c>
      <c r="AJ36" s="27" t="s">
        <v>157</v>
      </c>
      <c r="AK36" s="54">
        <v>3</v>
      </c>
      <c r="AL36" s="55">
        <v>12</v>
      </c>
    </row>
    <row r="37" spans="1:38" ht="35.1" customHeight="1" x14ac:dyDescent="0.2">
      <c r="A37" s="113" t="s">
        <v>66</v>
      </c>
      <c r="B37" s="67" t="s">
        <v>6</v>
      </c>
      <c r="C37" s="114">
        <v>0</v>
      </c>
      <c r="D37" s="9" t="s">
        <v>135</v>
      </c>
      <c r="E37" s="10"/>
      <c r="F37" s="10"/>
      <c r="G37" s="10"/>
      <c r="H37" s="10"/>
      <c r="I37" s="11"/>
      <c r="J37" s="9"/>
      <c r="K37" s="10"/>
      <c r="L37" s="10" t="s">
        <v>135</v>
      </c>
      <c r="M37" s="10"/>
      <c r="N37" s="10" t="s">
        <v>135</v>
      </c>
      <c r="O37" s="10"/>
      <c r="P37" s="11"/>
      <c r="Q37" s="12">
        <v>330</v>
      </c>
      <c r="R37" s="13">
        <v>0</v>
      </c>
      <c r="S37" s="13">
        <v>0</v>
      </c>
      <c r="T37" s="13">
        <v>0</v>
      </c>
      <c r="U37" s="14" t="s">
        <v>172</v>
      </c>
      <c r="V37" s="31" t="s">
        <v>80</v>
      </c>
      <c r="W37" s="3">
        <v>2</v>
      </c>
      <c r="X37" s="32">
        <v>0.5</v>
      </c>
      <c r="Y37" s="2" t="s">
        <v>80</v>
      </c>
      <c r="Z37" s="33">
        <v>1</v>
      </c>
      <c r="AA37" s="34">
        <v>2</v>
      </c>
      <c r="AB37" s="40" t="s">
        <v>196</v>
      </c>
      <c r="AC37" s="1" t="s">
        <v>159</v>
      </c>
      <c r="AD37" s="116" t="s">
        <v>159</v>
      </c>
      <c r="AE37" s="39" t="s">
        <v>83</v>
      </c>
      <c r="AF37" s="52">
        <v>18</v>
      </c>
      <c r="AG37" s="106">
        <v>18</v>
      </c>
      <c r="AH37" s="52">
        <v>2</v>
      </c>
      <c r="AI37" s="53" t="s">
        <v>137</v>
      </c>
      <c r="AJ37" s="27" t="s">
        <v>177</v>
      </c>
      <c r="AK37" s="54">
        <v>7</v>
      </c>
      <c r="AL37" s="55">
        <v>24</v>
      </c>
    </row>
    <row r="38" spans="1:38" ht="35.1" customHeight="1" x14ac:dyDescent="0.2">
      <c r="A38" s="113" t="s">
        <v>292</v>
      </c>
      <c r="B38" s="67" t="s">
        <v>6</v>
      </c>
      <c r="C38" s="114">
        <v>7</v>
      </c>
      <c r="D38" s="9" t="s">
        <v>135</v>
      </c>
      <c r="E38" s="10"/>
      <c r="F38" s="10"/>
      <c r="G38" s="10"/>
      <c r="H38" s="10"/>
      <c r="I38" s="11"/>
      <c r="J38" s="9"/>
      <c r="K38" s="10"/>
      <c r="L38" s="10" t="s">
        <v>135</v>
      </c>
      <c r="M38" s="10"/>
      <c r="N38" s="10"/>
      <c r="O38" s="10"/>
      <c r="P38" s="11" t="s">
        <v>135</v>
      </c>
      <c r="Q38" s="12">
        <v>180</v>
      </c>
      <c r="R38" s="13">
        <v>0</v>
      </c>
      <c r="S38" s="13">
        <v>0</v>
      </c>
      <c r="T38" s="13">
        <v>0</v>
      </c>
      <c r="U38" s="14" t="s">
        <v>273</v>
      </c>
      <c r="V38" s="31" t="s">
        <v>80</v>
      </c>
      <c r="W38" s="3">
        <v>2</v>
      </c>
      <c r="X38" s="32">
        <v>1.2</v>
      </c>
      <c r="Y38" s="2" t="s">
        <v>80</v>
      </c>
      <c r="Z38" s="33">
        <v>2</v>
      </c>
      <c r="AA38" s="34">
        <v>30</v>
      </c>
      <c r="AB38" s="40" t="s">
        <v>299</v>
      </c>
      <c r="AC38" s="1" t="s">
        <v>210</v>
      </c>
      <c r="AD38" s="116" t="s">
        <v>280</v>
      </c>
      <c r="AE38" s="2" t="s">
        <v>83</v>
      </c>
      <c r="AF38" s="52">
        <v>15</v>
      </c>
      <c r="AG38" s="106">
        <v>15</v>
      </c>
      <c r="AH38" s="52">
        <v>3</v>
      </c>
      <c r="AI38" s="53" t="s">
        <v>137</v>
      </c>
      <c r="AJ38" s="27" t="s">
        <v>225</v>
      </c>
      <c r="AK38" s="54">
        <v>2</v>
      </c>
      <c r="AL38" s="55">
        <v>12</v>
      </c>
    </row>
    <row r="39" spans="1:38" ht="35.1" customHeight="1" x14ac:dyDescent="0.2">
      <c r="A39" s="113" t="s">
        <v>310</v>
      </c>
      <c r="B39" s="67" t="s">
        <v>6</v>
      </c>
      <c r="C39" s="114">
        <v>9</v>
      </c>
      <c r="D39" s="9"/>
      <c r="E39" s="10" t="s">
        <v>135</v>
      </c>
      <c r="F39" s="10" t="s">
        <v>135</v>
      </c>
      <c r="G39" s="10"/>
      <c r="H39" s="10"/>
      <c r="I39" s="11"/>
      <c r="J39" s="9"/>
      <c r="K39" s="10" t="s">
        <v>135</v>
      </c>
      <c r="L39" s="10" t="s">
        <v>135</v>
      </c>
      <c r="M39" s="10" t="s">
        <v>135</v>
      </c>
      <c r="N39" s="10"/>
      <c r="O39" s="10" t="s">
        <v>135</v>
      </c>
      <c r="P39" s="11"/>
      <c r="Q39" s="12">
        <v>615</v>
      </c>
      <c r="R39" s="13">
        <v>0</v>
      </c>
      <c r="S39" s="13">
        <v>0</v>
      </c>
      <c r="T39" s="13">
        <v>0</v>
      </c>
      <c r="U39" s="14" t="s">
        <v>336</v>
      </c>
      <c r="V39" s="31" t="s">
        <v>83</v>
      </c>
      <c r="W39" s="3">
        <v>3</v>
      </c>
      <c r="X39" s="32">
        <v>3</v>
      </c>
      <c r="Y39" s="2" t="s">
        <v>80</v>
      </c>
      <c r="Z39" s="33">
        <v>1</v>
      </c>
      <c r="AA39" s="34">
        <v>2</v>
      </c>
      <c r="AB39" s="40" t="s">
        <v>196</v>
      </c>
      <c r="AC39" s="1" t="s">
        <v>177</v>
      </c>
      <c r="AD39" s="116" t="s">
        <v>162</v>
      </c>
      <c r="AE39" s="2" t="s">
        <v>80</v>
      </c>
      <c r="AF39" s="52">
        <v>18</v>
      </c>
      <c r="AG39" s="106">
        <v>18</v>
      </c>
      <c r="AH39" s="52">
        <v>3</v>
      </c>
      <c r="AI39" s="53">
        <v>15</v>
      </c>
      <c r="AJ39" s="27" t="s">
        <v>174</v>
      </c>
      <c r="AK39" s="54">
        <v>2</v>
      </c>
      <c r="AL39" s="55">
        <v>24</v>
      </c>
    </row>
    <row r="40" spans="1:38" ht="35.1" customHeight="1" x14ac:dyDescent="0.2">
      <c r="A40" s="113" t="s">
        <v>311</v>
      </c>
      <c r="B40" s="67" t="s">
        <v>6</v>
      </c>
      <c r="C40" s="114">
        <v>9</v>
      </c>
      <c r="D40" s="9"/>
      <c r="E40" s="10" t="s">
        <v>135</v>
      </c>
      <c r="F40" s="10" t="s">
        <v>135</v>
      </c>
      <c r="G40" s="10"/>
      <c r="H40" s="10"/>
      <c r="I40" s="11"/>
      <c r="J40" s="9"/>
      <c r="K40" s="10" t="s">
        <v>135</v>
      </c>
      <c r="L40" s="10" t="s">
        <v>135</v>
      </c>
      <c r="M40" s="10" t="s">
        <v>135</v>
      </c>
      <c r="N40" s="10"/>
      <c r="O40" s="10"/>
      <c r="P40" s="11"/>
      <c r="Q40" s="12">
        <v>360</v>
      </c>
      <c r="R40" s="13">
        <v>0</v>
      </c>
      <c r="S40" s="13">
        <v>0</v>
      </c>
      <c r="T40" s="13">
        <v>0</v>
      </c>
      <c r="U40" s="14" t="s">
        <v>331</v>
      </c>
      <c r="V40" s="31" t="s">
        <v>80</v>
      </c>
      <c r="W40" s="3">
        <v>2</v>
      </c>
      <c r="X40" s="32">
        <v>1</v>
      </c>
      <c r="Y40" s="2" t="s">
        <v>80</v>
      </c>
      <c r="Z40" s="33">
        <v>1</v>
      </c>
      <c r="AA40" s="34">
        <v>7</v>
      </c>
      <c r="AB40" s="40" t="s">
        <v>301</v>
      </c>
      <c r="AC40" s="1" t="s">
        <v>162</v>
      </c>
      <c r="AD40" s="116" t="s">
        <v>219</v>
      </c>
      <c r="AE40" s="2" t="s">
        <v>80</v>
      </c>
      <c r="AF40" s="52">
        <v>17</v>
      </c>
      <c r="AG40" s="106">
        <v>17</v>
      </c>
      <c r="AH40" s="52">
        <v>2</v>
      </c>
      <c r="AI40" s="53" t="s">
        <v>137</v>
      </c>
      <c r="AJ40" s="27" t="s">
        <v>157</v>
      </c>
      <c r="AK40" s="54">
        <v>2</v>
      </c>
      <c r="AL40" s="55">
        <v>12</v>
      </c>
    </row>
    <row r="41" spans="1:38" ht="35.1" customHeight="1" x14ac:dyDescent="0.2">
      <c r="A41" s="113" t="s">
        <v>294</v>
      </c>
      <c r="B41" s="67" t="s">
        <v>6</v>
      </c>
      <c r="C41" s="114">
        <v>7</v>
      </c>
      <c r="D41" s="9" t="s">
        <v>135</v>
      </c>
      <c r="E41" s="10"/>
      <c r="F41" s="10"/>
      <c r="G41" s="10"/>
      <c r="H41" s="10"/>
      <c r="I41" s="11"/>
      <c r="J41" s="9"/>
      <c r="K41" s="10"/>
      <c r="L41" s="10"/>
      <c r="M41" s="10"/>
      <c r="N41" s="10"/>
      <c r="O41" s="10"/>
      <c r="P41" s="11" t="s">
        <v>135</v>
      </c>
      <c r="Q41" s="12">
        <v>182</v>
      </c>
      <c r="R41" s="13">
        <v>0</v>
      </c>
      <c r="S41" s="13">
        <v>0</v>
      </c>
      <c r="T41" s="13">
        <v>0</v>
      </c>
      <c r="U41" s="14" t="s">
        <v>300</v>
      </c>
      <c r="V41" s="31" t="s">
        <v>80</v>
      </c>
      <c r="W41" s="3">
        <v>2</v>
      </c>
      <c r="X41" s="32">
        <v>1.5</v>
      </c>
      <c r="Y41" s="2" t="s">
        <v>80</v>
      </c>
      <c r="Z41" s="33">
        <v>1</v>
      </c>
      <c r="AA41" s="34">
        <v>10</v>
      </c>
      <c r="AB41" s="40" t="s">
        <v>301</v>
      </c>
      <c r="AC41" s="1" t="s">
        <v>157</v>
      </c>
      <c r="AD41" s="116" t="s">
        <v>157</v>
      </c>
      <c r="AE41" s="2" t="s">
        <v>83</v>
      </c>
      <c r="AF41" s="52">
        <v>12</v>
      </c>
      <c r="AG41" s="106">
        <v>12</v>
      </c>
      <c r="AH41" s="52">
        <v>1</v>
      </c>
      <c r="AI41" s="53">
        <v>8</v>
      </c>
      <c r="AJ41" s="27" t="s">
        <v>164</v>
      </c>
      <c r="AK41" s="54">
        <v>1</v>
      </c>
      <c r="AL41" s="55">
        <v>12</v>
      </c>
    </row>
    <row r="42" spans="1:38" ht="35.1" customHeight="1" x14ac:dyDescent="0.2">
      <c r="A42" s="113" t="s">
        <v>65</v>
      </c>
      <c r="B42" s="67" t="s">
        <v>8</v>
      </c>
      <c r="C42" s="114">
        <v>0</v>
      </c>
      <c r="D42" s="9" t="s">
        <v>135</v>
      </c>
      <c r="E42" s="10"/>
      <c r="F42" s="10"/>
      <c r="G42" s="10"/>
      <c r="H42" s="10"/>
      <c r="I42" s="11"/>
      <c r="J42" s="9" t="s">
        <v>135</v>
      </c>
      <c r="K42" s="10"/>
      <c r="L42" s="10" t="s">
        <v>135</v>
      </c>
      <c r="M42" s="10"/>
      <c r="N42" s="10"/>
      <c r="O42" s="10"/>
      <c r="P42" s="11"/>
      <c r="Q42" s="12">
        <v>1004</v>
      </c>
      <c r="R42" s="13">
        <v>0</v>
      </c>
      <c r="S42" s="13">
        <v>1004</v>
      </c>
      <c r="T42" s="13">
        <v>0</v>
      </c>
      <c r="U42" s="14" t="s">
        <v>213</v>
      </c>
      <c r="V42" s="31" t="s">
        <v>80</v>
      </c>
      <c r="W42" s="3">
        <v>4</v>
      </c>
      <c r="X42" s="32">
        <v>2</v>
      </c>
      <c r="Y42" s="2" t="s">
        <v>80</v>
      </c>
      <c r="Z42" s="33">
        <v>3</v>
      </c>
      <c r="AA42" s="34">
        <v>30</v>
      </c>
      <c r="AB42" s="40" t="s">
        <v>214</v>
      </c>
      <c r="AC42" s="1" t="s">
        <v>178</v>
      </c>
      <c r="AD42" s="116" t="s">
        <v>215</v>
      </c>
      <c r="AE42" s="39" t="s">
        <v>80</v>
      </c>
      <c r="AF42" s="52">
        <v>51</v>
      </c>
      <c r="AG42" s="106">
        <v>51</v>
      </c>
      <c r="AH42" s="52">
        <v>6</v>
      </c>
      <c r="AI42" s="53">
        <v>40</v>
      </c>
      <c r="AJ42" s="27" t="s">
        <v>177</v>
      </c>
      <c r="AK42" s="54">
        <v>8</v>
      </c>
      <c r="AL42" s="55">
        <v>24</v>
      </c>
    </row>
    <row r="43" spans="1:38" ht="35.1" customHeight="1" x14ac:dyDescent="0.2">
      <c r="A43" s="113" t="s">
        <v>428</v>
      </c>
      <c r="B43" s="67" t="s">
        <v>8</v>
      </c>
      <c r="C43" s="114">
        <v>14</v>
      </c>
      <c r="D43" s="9" t="s">
        <v>135</v>
      </c>
      <c r="E43" s="10"/>
      <c r="F43" s="10"/>
      <c r="G43" s="10"/>
      <c r="H43" s="10"/>
      <c r="I43" s="11"/>
      <c r="J43" s="9"/>
      <c r="K43" s="10"/>
      <c r="L43" s="10"/>
      <c r="M43" s="10"/>
      <c r="N43" s="10" t="s">
        <v>135</v>
      </c>
      <c r="O43" s="10"/>
      <c r="P43" s="11"/>
      <c r="Q43" s="12">
        <v>270</v>
      </c>
      <c r="R43" s="13">
        <v>40</v>
      </c>
      <c r="S43" s="13">
        <v>0</v>
      </c>
      <c r="T43" s="13">
        <v>0</v>
      </c>
      <c r="U43" s="14" t="s">
        <v>198</v>
      </c>
      <c r="V43" s="31" t="s">
        <v>83</v>
      </c>
      <c r="W43" s="3">
        <v>2</v>
      </c>
      <c r="X43" s="32">
        <v>3</v>
      </c>
      <c r="Y43" s="2" t="s">
        <v>80</v>
      </c>
      <c r="Z43" s="16">
        <v>1</v>
      </c>
      <c r="AA43" s="17">
        <v>2</v>
      </c>
      <c r="AB43" s="40" t="s">
        <v>196</v>
      </c>
      <c r="AC43" s="1" t="s">
        <v>177</v>
      </c>
      <c r="AD43" s="116" t="s">
        <v>177</v>
      </c>
      <c r="AE43" s="39" t="s">
        <v>80</v>
      </c>
      <c r="AF43" s="52">
        <v>17</v>
      </c>
      <c r="AG43" s="106">
        <v>17</v>
      </c>
      <c r="AH43" s="52">
        <v>4</v>
      </c>
      <c r="AI43" s="53" t="s">
        <v>137</v>
      </c>
      <c r="AJ43" s="27" t="s">
        <v>194</v>
      </c>
      <c r="AK43" s="54">
        <v>3</v>
      </c>
      <c r="AL43" s="55">
        <v>24</v>
      </c>
    </row>
    <row r="44" spans="1:38" ht="35.1" customHeight="1" x14ac:dyDescent="0.2">
      <c r="A44" s="113" t="s">
        <v>64</v>
      </c>
      <c r="B44" s="67" t="s">
        <v>6</v>
      </c>
      <c r="C44" s="114">
        <v>0</v>
      </c>
      <c r="D44" s="9"/>
      <c r="E44" s="10"/>
      <c r="F44" s="10"/>
      <c r="G44" s="10" t="s">
        <v>135</v>
      </c>
      <c r="H44" s="10"/>
      <c r="I44" s="11"/>
      <c r="J44" s="9"/>
      <c r="K44" s="10" t="s">
        <v>135</v>
      </c>
      <c r="L44" s="10" t="s">
        <v>135</v>
      </c>
      <c r="M44" s="10" t="s">
        <v>135</v>
      </c>
      <c r="N44" s="10"/>
      <c r="O44" s="10"/>
      <c r="P44" s="11" t="s">
        <v>135</v>
      </c>
      <c r="Q44" s="12">
        <v>370</v>
      </c>
      <c r="R44" s="13">
        <v>0</v>
      </c>
      <c r="S44" s="13">
        <v>0</v>
      </c>
      <c r="T44" s="13">
        <v>0</v>
      </c>
      <c r="U44" s="14" t="s">
        <v>337</v>
      </c>
      <c r="V44" s="31" t="s">
        <v>80</v>
      </c>
      <c r="W44" s="3">
        <v>2</v>
      </c>
      <c r="X44" s="32">
        <v>1.25</v>
      </c>
      <c r="Y44" s="2" t="s">
        <v>80</v>
      </c>
      <c r="Z44" s="33">
        <v>1</v>
      </c>
      <c r="AA44" s="34">
        <v>11</v>
      </c>
      <c r="AB44" s="40" t="s">
        <v>216</v>
      </c>
      <c r="AC44" s="1" t="s">
        <v>157</v>
      </c>
      <c r="AD44" s="116" t="s">
        <v>217</v>
      </c>
      <c r="AE44" s="39" t="s">
        <v>83</v>
      </c>
      <c r="AF44" s="52">
        <v>11</v>
      </c>
      <c r="AG44" s="106">
        <v>11</v>
      </c>
      <c r="AH44" s="52">
        <v>1.5</v>
      </c>
      <c r="AI44" s="53" t="s">
        <v>137</v>
      </c>
      <c r="AJ44" s="27" t="s">
        <v>159</v>
      </c>
      <c r="AK44" s="54">
        <v>8</v>
      </c>
      <c r="AL44" s="55">
        <v>12</v>
      </c>
    </row>
    <row r="45" spans="1:38" ht="35.1" customHeight="1" x14ac:dyDescent="0.2">
      <c r="A45" s="113" t="s">
        <v>63</v>
      </c>
      <c r="B45" s="67" t="s">
        <v>8</v>
      </c>
      <c r="C45" s="114">
        <v>0</v>
      </c>
      <c r="D45" s="9"/>
      <c r="E45" s="10"/>
      <c r="F45" s="10"/>
      <c r="G45" s="10"/>
      <c r="H45" s="10"/>
      <c r="I45" s="11" t="s">
        <v>135</v>
      </c>
      <c r="J45" s="9"/>
      <c r="K45" s="10"/>
      <c r="L45" s="10"/>
      <c r="M45" s="10"/>
      <c r="N45" s="10" t="s">
        <v>135</v>
      </c>
      <c r="O45" s="10"/>
      <c r="P45" s="11"/>
      <c r="Q45" s="12">
        <v>230</v>
      </c>
      <c r="R45" s="13">
        <v>0</v>
      </c>
      <c r="S45" s="13">
        <v>0</v>
      </c>
      <c r="T45" s="13">
        <v>0</v>
      </c>
      <c r="U45" s="14" t="s">
        <v>218</v>
      </c>
      <c r="V45" s="31" t="s">
        <v>80</v>
      </c>
      <c r="W45" s="3">
        <v>1</v>
      </c>
      <c r="X45" s="32">
        <v>0.5</v>
      </c>
      <c r="Y45" s="2" t="s">
        <v>80</v>
      </c>
      <c r="Z45" s="33">
        <v>1</v>
      </c>
      <c r="AA45" s="34">
        <v>4</v>
      </c>
      <c r="AB45" s="40" t="s">
        <v>173</v>
      </c>
      <c r="AC45" s="1" t="s">
        <v>159</v>
      </c>
      <c r="AD45" s="116" t="s">
        <v>174</v>
      </c>
      <c r="AE45" s="39" t="s">
        <v>83</v>
      </c>
      <c r="AF45" s="52">
        <v>100</v>
      </c>
      <c r="AG45" s="106">
        <v>100</v>
      </c>
      <c r="AH45" s="52">
        <v>22</v>
      </c>
      <c r="AI45" s="53" t="s">
        <v>137</v>
      </c>
      <c r="AJ45" s="27" t="s">
        <v>197</v>
      </c>
      <c r="AK45" s="54">
        <v>8</v>
      </c>
      <c r="AL45" s="55">
        <v>24</v>
      </c>
    </row>
    <row r="46" spans="1:38" ht="35.1" customHeight="1" x14ac:dyDescent="0.2">
      <c r="A46" s="113" t="s">
        <v>62</v>
      </c>
      <c r="B46" s="67" t="s">
        <v>2</v>
      </c>
      <c r="C46" s="114">
        <v>0</v>
      </c>
      <c r="D46" s="9"/>
      <c r="E46" s="10" t="s">
        <v>135</v>
      </c>
      <c r="F46" s="10"/>
      <c r="G46" s="10"/>
      <c r="H46" s="10"/>
      <c r="I46" s="11"/>
      <c r="J46" s="9" t="s">
        <v>135</v>
      </c>
      <c r="K46" s="10" t="s">
        <v>135</v>
      </c>
      <c r="L46" s="10"/>
      <c r="M46" s="10"/>
      <c r="N46" s="10" t="s">
        <v>135</v>
      </c>
      <c r="O46" s="10"/>
      <c r="P46" s="11"/>
      <c r="Q46" s="12">
        <v>210</v>
      </c>
      <c r="R46" s="13">
        <v>0</v>
      </c>
      <c r="S46" s="13">
        <v>300</v>
      </c>
      <c r="T46" s="13">
        <v>0</v>
      </c>
      <c r="U46" s="14" t="s">
        <v>218</v>
      </c>
      <c r="V46" s="31" t="s">
        <v>80</v>
      </c>
      <c r="W46" s="3">
        <v>2</v>
      </c>
      <c r="X46" s="32">
        <v>1</v>
      </c>
      <c r="Y46" s="2" t="s">
        <v>80</v>
      </c>
      <c r="Z46" s="33">
        <v>1</v>
      </c>
      <c r="AA46" s="34">
        <v>7</v>
      </c>
      <c r="AB46" s="40" t="s">
        <v>189</v>
      </c>
      <c r="AC46" s="1" t="s">
        <v>219</v>
      </c>
      <c r="AD46" s="116" t="s">
        <v>219</v>
      </c>
      <c r="AE46" s="39" t="s">
        <v>80</v>
      </c>
      <c r="AF46" s="52">
        <v>50</v>
      </c>
      <c r="AG46" s="106">
        <v>50</v>
      </c>
      <c r="AH46" s="52">
        <v>14</v>
      </c>
      <c r="AI46" s="53">
        <v>50</v>
      </c>
      <c r="AJ46" s="27" t="s">
        <v>220</v>
      </c>
      <c r="AK46" s="54">
        <v>3</v>
      </c>
      <c r="AL46" s="55">
        <v>24</v>
      </c>
    </row>
    <row r="47" spans="1:38" ht="35.1" customHeight="1" x14ac:dyDescent="0.2">
      <c r="A47" s="113" t="s">
        <v>61</v>
      </c>
      <c r="B47" s="67" t="s">
        <v>8</v>
      </c>
      <c r="C47" s="114">
        <v>0</v>
      </c>
      <c r="D47" s="9" t="s">
        <v>135</v>
      </c>
      <c r="E47" s="10"/>
      <c r="F47" s="10"/>
      <c r="G47" s="10"/>
      <c r="H47" s="10"/>
      <c r="I47" s="11"/>
      <c r="J47" s="9"/>
      <c r="K47" s="10"/>
      <c r="L47" s="10" t="s">
        <v>135</v>
      </c>
      <c r="M47" s="10"/>
      <c r="N47" s="10"/>
      <c r="O47" s="10"/>
      <c r="P47" s="11" t="s">
        <v>135</v>
      </c>
      <c r="Q47" s="12">
        <v>705</v>
      </c>
      <c r="R47" s="13">
        <v>0</v>
      </c>
      <c r="S47" s="13">
        <v>0</v>
      </c>
      <c r="T47" s="13">
        <v>0</v>
      </c>
      <c r="U47" s="14" t="s">
        <v>156</v>
      </c>
      <c r="V47" s="31" t="s">
        <v>80</v>
      </c>
      <c r="W47" s="3">
        <v>2</v>
      </c>
      <c r="X47" s="32">
        <v>2</v>
      </c>
      <c r="Y47" s="2" t="s">
        <v>80</v>
      </c>
      <c r="Z47" s="33">
        <v>1</v>
      </c>
      <c r="AA47" s="34">
        <v>3</v>
      </c>
      <c r="AB47" s="40" t="s">
        <v>222</v>
      </c>
      <c r="AC47" s="1" t="s">
        <v>162</v>
      </c>
      <c r="AD47" s="116" t="s">
        <v>177</v>
      </c>
      <c r="AE47" s="39" t="s">
        <v>80</v>
      </c>
      <c r="AF47" s="52">
        <v>14</v>
      </c>
      <c r="AG47" s="106">
        <v>14</v>
      </c>
      <c r="AH47" s="52">
        <v>2</v>
      </c>
      <c r="AI47" s="53">
        <v>12</v>
      </c>
      <c r="AJ47" s="27" t="s">
        <v>157</v>
      </c>
      <c r="AK47" s="54">
        <v>3</v>
      </c>
      <c r="AL47" s="55">
        <v>19</v>
      </c>
    </row>
    <row r="48" spans="1:38" ht="35.1" customHeight="1" x14ac:dyDescent="0.2">
      <c r="A48" s="113" t="s">
        <v>60</v>
      </c>
      <c r="B48" s="67" t="s">
        <v>6</v>
      </c>
      <c r="C48" s="114">
        <v>0</v>
      </c>
      <c r="D48" s="9"/>
      <c r="E48" s="10"/>
      <c r="F48" s="10"/>
      <c r="G48" s="10" t="s">
        <v>135</v>
      </c>
      <c r="H48" s="10"/>
      <c r="I48" s="11"/>
      <c r="J48" s="9"/>
      <c r="K48" s="10" t="s">
        <v>135</v>
      </c>
      <c r="L48" s="10"/>
      <c r="M48" s="10" t="s">
        <v>135</v>
      </c>
      <c r="N48" s="10"/>
      <c r="O48" s="10" t="s">
        <v>135</v>
      </c>
      <c r="P48" s="11"/>
      <c r="Q48" s="12">
        <v>750</v>
      </c>
      <c r="R48" s="13">
        <v>0</v>
      </c>
      <c r="S48" s="13">
        <v>0</v>
      </c>
      <c r="T48" s="13">
        <v>0</v>
      </c>
      <c r="U48" s="14" t="s">
        <v>228</v>
      </c>
      <c r="V48" s="31" t="s">
        <v>83</v>
      </c>
      <c r="W48" s="3">
        <v>4</v>
      </c>
      <c r="X48" s="32">
        <v>2</v>
      </c>
      <c r="Y48" s="2" t="s">
        <v>80</v>
      </c>
      <c r="Z48" s="33">
        <v>1</v>
      </c>
      <c r="AA48" s="34">
        <v>2</v>
      </c>
      <c r="AB48" s="40" t="s">
        <v>196</v>
      </c>
      <c r="AC48" s="1" t="s">
        <v>177</v>
      </c>
      <c r="AD48" s="116" t="s">
        <v>159</v>
      </c>
      <c r="AE48" s="39" t="s">
        <v>80</v>
      </c>
      <c r="AF48" s="52">
        <v>26</v>
      </c>
      <c r="AG48" s="106">
        <v>26</v>
      </c>
      <c r="AH48" s="52">
        <v>6</v>
      </c>
      <c r="AI48" s="53">
        <v>25</v>
      </c>
      <c r="AJ48" s="27" t="s">
        <v>174</v>
      </c>
      <c r="AK48" s="54">
        <v>8</v>
      </c>
      <c r="AL48" s="55">
        <v>60</v>
      </c>
    </row>
    <row r="49" spans="1:38" ht="35.1" customHeight="1" x14ac:dyDescent="0.2">
      <c r="A49" s="113" t="s">
        <v>59</v>
      </c>
      <c r="B49" s="67" t="s">
        <v>8</v>
      </c>
      <c r="C49" s="114">
        <v>3</v>
      </c>
      <c r="D49" s="9"/>
      <c r="E49" s="10"/>
      <c r="F49" s="10"/>
      <c r="G49" s="10"/>
      <c r="H49" s="10"/>
      <c r="I49" s="11" t="s">
        <v>135</v>
      </c>
      <c r="J49" s="9"/>
      <c r="K49" s="10"/>
      <c r="L49" s="10" t="s">
        <v>135</v>
      </c>
      <c r="M49" s="10"/>
      <c r="N49" s="10" t="s">
        <v>135</v>
      </c>
      <c r="O49" s="10"/>
      <c r="P49" s="11"/>
      <c r="Q49" s="12">
        <v>660</v>
      </c>
      <c r="R49" s="13">
        <v>0</v>
      </c>
      <c r="S49" s="13">
        <v>0</v>
      </c>
      <c r="T49" s="13">
        <v>0</v>
      </c>
      <c r="U49" s="14" t="s">
        <v>188</v>
      </c>
      <c r="V49" s="31" t="s">
        <v>80</v>
      </c>
      <c r="W49" s="3">
        <v>2</v>
      </c>
      <c r="X49" s="32">
        <v>1.25</v>
      </c>
      <c r="Y49" s="2" t="s">
        <v>80</v>
      </c>
      <c r="Z49" s="33">
        <v>1</v>
      </c>
      <c r="AA49" s="34">
        <v>2</v>
      </c>
      <c r="AB49" s="40" t="s">
        <v>196</v>
      </c>
      <c r="AC49" s="1" t="s">
        <v>159</v>
      </c>
      <c r="AD49" s="116" t="s">
        <v>159</v>
      </c>
      <c r="AE49" s="39" t="s">
        <v>83</v>
      </c>
      <c r="AF49" s="52">
        <v>16</v>
      </c>
      <c r="AG49" s="106">
        <v>16</v>
      </c>
      <c r="AH49" s="52">
        <v>4</v>
      </c>
      <c r="AI49" s="53" t="s">
        <v>137</v>
      </c>
      <c r="AJ49" s="27" t="s">
        <v>177</v>
      </c>
      <c r="AK49" s="54">
        <v>9</v>
      </c>
      <c r="AL49" s="55">
        <v>12</v>
      </c>
    </row>
    <row r="50" spans="1:38" ht="35.1" customHeight="1" x14ac:dyDescent="0.2">
      <c r="A50" s="113" t="s">
        <v>58</v>
      </c>
      <c r="B50" s="67" t="s">
        <v>8</v>
      </c>
      <c r="C50" s="114">
        <v>0</v>
      </c>
      <c r="D50" s="9"/>
      <c r="E50" s="10" t="s">
        <v>135</v>
      </c>
      <c r="F50" s="10"/>
      <c r="G50" s="10"/>
      <c r="H50" s="10"/>
      <c r="I50" s="11"/>
      <c r="J50" s="9"/>
      <c r="K50" s="10" t="s">
        <v>135</v>
      </c>
      <c r="L50" s="10"/>
      <c r="M50" s="10" t="s">
        <v>135</v>
      </c>
      <c r="N50" s="10"/>
      <c r="O50" s="10"/>
      <c r="P50" s="11"/>
      <c r="Q50" s="12">
        <v>900</v>
      </c>
      <c r="R50" s="13">
        <v>0</v>
      </c>
      <c r="S50" s="13">
        <v>0</v>
      </c>
      <c r="T50" s="13">
        <v>0</v>
      </c>
      <c r="U50" s="14" t="s">
        <v>231</v>
      </c>
      <c r="V50" s="31" t="s">
        <v>83</v>
      </c>
      <c r="W50" s="3">
        <v>4</v>
      </c>
      <c r="X50" s="32">
        <v>2</v>
      </c>
      <c r="Y50" s="2" t="s">
        <v>80</v>
      </c>
      <c r="Z50" s="33">
        <v>1</v>
      </c>
      <c r="AA50" s="34">
        <v>10</v>
      </c>
      <c r="AB50" s="40" t="s">
        <v>232</v>
      </c>
      <c r="AC50" s="1" t="s">
        <v>233</v>
      </c>
      <c r="AD50" s="116" t="s">
        <v>233</v>
      </c>
      <c r="AE50" s="39" t="s">
        <v>80</v>
      </c>
      <c r="AF50" s="52">
        <v>20</v>
      </c>
      <c r="AG50" s="106">
        <v>20</v>
      </c>
      <c r="AH50" s="52">
        <v>6</v>
      </c>
      <c r="AI50" s="53">
        <v>20</v>
      </c>
      <c r="AJ50" s="27" t="s">
        <v>177</v>
      </c>
      <c r="AK50" s="54">
        <v>5</v>
      </c>
      <c r="AL50" s="55">
        <v>24</v>
      </c>
    </row>
    <row r="51" spans="1:38" ht="35.1" customHeight="1" x14ac:dyDescent="0.2">
      <c r="A51" s="113" t="s">
        <v>487</v>
      </c>
      <c r="B51" s="67" t="s">
        <v>6</v>
      </c>
      <c r="C51" s="114">
        <v>0</v>
      </c>
      <c r="D51" s="9"/>
      <c r="E51" s="10"/>
      <c r="F51" s="10"/>
      <c r="G51" s="10" t="s">
        <v>135</v>
      </c>
      <c r="H51" s="10"/>
      <c r="I51" s="11" t="s">
        <v>135</v>
      </c>
      <c r="J51" s="9"/>
      <c r="K51" s="10" t="s">
        <v>135</v>
      </c>
      <c r="L51" s="10" t="s">
        <v>135</v>
      </c>
      <c r="M51" s="10"/>
      <c r="N51" s="10" t="s">
        <v>135</v>
      </c>
      <c r="O51" s="10"/>
      <c r="P51" s="11" t="s">
        <v>135</v>
      </c>
      <c r="Q51" s="12">
        <v>300</v>
      </c>
      <c r="R51" s="13">
        <v>0</v>
      </c>
      <c r="S51" s="13">
        <v>0</v>
      </c>
      <c r="T51" s="13">
        <v>0</v>
      </c>
      <c r="U51" s="14" t="s">
        <v>396</v>
      </c>
      <c r="V51" s="31" t="s">
        <v>80</v>
      </c>
      <c r="W51" s="3">
        <v>2</v>
      </c>
      <c r="X51" s="32">
        <v>1.25</v>
      </c>
      <c r="Y51" s="2" t="s">
        <v>80</v>
      </c>
      <c r="Z51" s="16">
        <v>5</v>
      </c>
      <c r="AA51" s="17">
        <v>15</v>
      </c>
      <c r="AB51" s="40" t="s">
        <v>490</v>
      </c>
      <c r="AC51" s="1" t="s">
        <v>288</v>
      </c>
      <c r="AD51" s="116" t="s">
        <v>288</v>
      </c>
      <c r="AE51" s="39" t="s">
        <v>80</v>
      </c>
      <c r="AF51" s="52">
        <v>20</v>
      </c>
      <c r="AG51" s="106">
        <v>20</v>
      </c>
      <c r="AH51" s="52">
        <v>1</v>
      </c>
      <c r="AI51" s="53" t="s">
        <v>137</v>
      </c>
      <c r="AJ51" s="27" t="s">
        <v>162</v>
      </c>
      <c r="AK51" s="54">
        <v>5</v>
      </c>
      <c r="AL51" s="55">
        <v>7</v>
      </c>
    </row>
    <row r="52" spans="1:38" ht="35.1" customHeight="1" x14ac:dyDescent="0.2">
      <c r="A52" s="113" t="s">
        <v>507</v>
      </c>
      <c r="B52" s="67" t="s">
        <v>12</v>
      </c>
      <c r="C52" s="114">
        <v>18</v>
      </c>
      <c r="D52" s="9"/>
      <c r="E52" s="10"/>
      <c r="F52" s="10" t="s">
        <v>135</v>
      </c>
      <c r="G52" s="10"/>
      <c r="H52" s="10"/>
      <c r="I52" s="11"/>
      <c r="J52" s="9"/>
      <c r="K52" s="10" t="s">
        <v>135</v>
      </c>
      <c r="L52" s="10" t="s">
        <v>135</v>
      </c>
      <c r="M52" s="10" t="s">
        <v>135</v>
      </c>
      <c r="N52" s="10"/>
      <c r="O52" s="10"/>
      <c r="P52" s="11" t="s">
        <v>135</v>
      </c>
      <c r="Q52" s="12">
        <v>390</v>
      </c>
      <c r="R52" s="13">
        <v>0</v>
      </c>
      <c r="S52" s="13">
        <v>0</v>
      </c>
      <c r="T52" s="13">
        <v>0</v>
      </c>
      <c r="U52" s="14" t="s">
        <v>341</v>
      </c>
      <c r="V52" s="31" t="s">
        <v>80</v>
      </c>
      <c r="W52" s="3">
        <v>2</v>
      </c>
      <c r="X52" s="32">
        <v>1.25</v>
      </c>
      <c r="Y52" s="2" t="s">
        <v>80</v>
      </c>
      <c r="Z52" s="16">
        <v>2</v>
      </c>
      <c r="AA52" s="17">
        <v>30</v>
      </c>
      <c r="AB52" s="40" t="s">
        <v>214</v>
      </c>
      <c r="AC52" s="1" t="s">
        <v>508</v>
      </c>
      <c r="AD52" s="116" t="s">
        <v>255</v>
      </c>
      <c r="AE52" s="39" t="s">
        <v>526</v>
      </c>
      <c r="AF52" s="52">
        <v>18</v>
      </c>
      <c r="AG52" s="106">
        <v>18</v>
      </c>
      <c r="AH52" s="52">
        <v>1.5</v>
      </c>
      <c r="AI52" s="53">
        <v>12</v>
      </c>
      <c r="AJ52" s="27" t="s">
        <v>162</v>
      </c>
      <c r="AK52" s="54">
        <v>5</v>
      </c>
      <c r="AL52" s="55">
        <v>7</v>
      </c>
    </row>
    <row r="53" spans="1:38" ht="35.1" customHeight="1" x14ac:dyDescent="0.2">
      <c r="A53" s="113" t="s">
        <v>57</v>
      </c>
      <c r="B53" s="67" t="s">
        <v>6</v>
      </c>
      <c r="C53" s="114">
        <v>4</v>
      </c>
      <c r="D53" s="9"/>
      <c r="E53" s="10" t="s">
        <v>135</v>
      </c>
      <c r="F53" s="10"/>
      <c r="G53" s="10"/>
      <c r="H53" s="10" t="s">
        <v>135</v>
      </c>
      <c r="I53" s="11"/>
      <c r="J53" s="9"/>
      <c r="K53" s="10"/>
      <c r="L53" s="10"/>
      <c r="M53" s="10"/>
      <c r="N53" s="10" t="s">
        <v>135</v>
      </c>
      <c r="O53" s="10"/>
      <c r="P53" s="11"/>
      <c r="Q53" s="12">
        <v>400</v>
      </c>
      <c r="R53" s="13">
        <v>0</v>
      </c>
      <c r="S53" s="13">
        <v>0</v>
      </c>
      <c r="T53" s="13">
        <v>0</v>
      </c>
      <c r="U53" s="14" t="s">
        <v>198</v>
      </c>
      <c r="V53" s="31" t="s">
        <v>80</v>
      </c>
      <c r="W53" s="3">
        <v>2</v>
      </c>
      <c r="X53" s="32">
        <v>1.8</v>
      </c>
      <c r="Y53" s="2" t="s">
        <v>80</v>
      </c>
      <c r="Z53" s="33">
        <v>1</v>
      </c>
      <c r="AA53" s="34">
        <v>2</v>
      </c>
      <c r="AB53" s="40" t="s">
        <v>196</v>
      </c>
      <c r="AC53" s="1" t="s">
        <v>177</v>
      </c>
      <c r="AD53" s="116" t="s">
        <v>177</v>
      </c>
      <c r="AE53" s="39" t="s">
        <v>80</v>
      </c>
      <c r="AF53" s="52">
        <v>40</v>
      </c>
      <c r="AG53" s="106">
        <v>40</v>
      </c>
      <c r="AH53" s="52">
        <v>3</v>
      </c>
      <c r="AI53" s="53">
        <v>40</v>
      </c>
      <c r="AJ53" s="27" t="s">
        <v>174</v>
      </c>
      <c r="AK53" s="54">
        <v>2</v>
      </c>
      <c r="AL53" s="55">
        <v>24</v>
      </c>
    </row>
    <row r="54" spans="1:38" ht="35.1" customHeight="1" x14ac:dyDescent="0.2">
      <c r="A54" s="113" t="s">
        <v>509</v>
      </c>
      <c r="B54" s="67" t="s">
        <v>12</v>
      </c>
      <c r="C54" s="114">
        <v>18</v>
      </c>
      <c r="D54" s="9"/>
      <c r="E54" s="10"/>
      <c r="F54" s="10" t="s">
        <v>135</v>
      </c>
      <c r="G54" s="10"/>
      <c r="H54" s="10"/>
      <c r="I54" s="11"/>
      <c r="J54" s="9"/>
      <c r="K54" s="10" t="s">
        <v>135</v>
      </c>
      <c r="L54" s="10" t="s">
        <v>135</v>
      </c>
      <c r="M54" s="10" t="s">
        <v>135</v>
      </c>
      <c r="N54" s="10"/>
      <c r="O54" s="10"/>
      <c r="P54" s="11"/>
      <c r="Q54" s="12">
        <v>425</v>
      </c>
      <c r="R54" s="13">
        <v>0</v>
      </c>
      <c r="S54" s="13">
        <v>0</v>
      </c>
      <c r="T54" s="13">
        <v>0</v>
      </c>
      <c r="U54" s="14" t="s">
        <v>331</v>
      </c>
      <c r="V54" s="31" t="s">
        <v>80</v>
      </c>
      <c r="W54" s="3">
        <v>2</v>
      </c>
      <c r="X54" s="32">
        <v>1.25</v>
      </c>
      <c r="Y54" s="2" t="s">
        <v>80</v>
      </c>
      <c r="Z54" s="16">
        <v>3</v>
      </c>
      <c r="AA54" s="17">
        <v>50</v>
      </c>
      <c r="AB54" s="40" t="s">
        <v>510</v>
      </c>
      <c r="AC54" s="1" t="s">
        <v>423</v>
      </c>
      <c r="AD54" s="116" t="s">
        <v>362</v>
      </c>
      <c r="AE54" s="39" t="s">
        <v>526</v>
      </c>
      <c r="AF54" s="52">
        <v>12</v>
      </c>
      <c r="AG54" s="106">
        <v>12</v>
      </c>
      <c r="AH54" s="52">
        <v>0.66</v>
      </c>
      <c r="AI54" s="53">
        <v>8</v>
      </c>
      <c r="AJ54" s="27" t="s">
        <v>187</v>
      </c>
      <c r="AK54" s="54">
        <v>5</v>
      </c>
      <c r="AL54" s="55">
        <v>7</v>
      </c>
    </row>
    <row r="55" spans="1:38" ht="35.1" customHeight="1" x14ac:dyDescent="0.2">
      <c r="A55" s="113" t="s">
        <v>511</v>
      </c>
      <c r="B55" s="67" t="s">
        <v>12</v>
      </c>
      <c r="C55" s="114">
        <v>18</v>
      </c>
      <c r="D55" s="9"/>
      <c r="E55" s="10"/>
      <c r="F55" s="10" t="s">
        <v>135</v>
      </c>
      <c r="G55" s="10"/>
      <c r="H55" s="10"/>
      <c r="I55" s="11"/>
      <c r="J55" s="9"/>
      <c r="K55" s="10" t="s">
        <v>135</v>
      </c>
      <c r="L55" s="10"/>
      <c r="M55" s="10" t="s">
        <v>135</v>
      </c>
      <c r="N55" s="10"/>
      <c r="O55" s="10" t="s">
        <v>135</v>
      </c>
      <c r="P55" s="11"/>
      <c r="Q55" s="12">
        <v>455</v>
      </c>
      <c r="R55" s="13">
        <v>0</v>
      </c>
      <c r="S55" s="13">
        <v>0</v>
      </c>
      <c r="T55" s="13">
        <v>0</v>
      </c>
      <c r="U55" s="14" t="s">
        <v>357</v>
      </c>
      <c r="V55" s="31" t="s">
        <v>80</v>
      </c>
      <c r="W55" s="3">
        <v>3</v>
      </c>
      <c r="X55" s="32">
        <v>1.25</v>
      </c>
      <c r="Y55" s="2" t="s">
        <v>80</v>
      </c>
      <c r="Z55" s="16">
        <v>3</v>
      </c>
      <c r="AA55" s="17">
        <v>20</v>
      </c>
      <c r="AB55" s="40" t="s">
        <v>329</v>
      </c>
      <c r="AC55" s="1" t="s">
        <v>139</v>
      </c>
      <c r="AD55" s="116" t="s">
        <v>423</v>
      </c>
      <c r="AE55" s="39" t="s">
        <v>526</v>
      </c>
      <c r="AF55" s="52">
        <v>19</v>
      </c>
      <c r="AG55" s="106">
        <v>19</v>
      </c>
      <c r="AH55" s="52">
        <v>3</v>
      </c>
      <c r="AI55" s="53" t="s">
        <v>137</v>
      </c>
      <c r="AJ55" s="27" t="s">
        <v>177</v>
      </c>
      <c r="AK55" s="54">
        <v>9</v>
      </c>
      <c r="AL55" s="55">
        <v>14</v>
      </c>
    </row>
    <row r="56" spans="1:38" ht="35.1" customHeight="1" x14ac:dyDescent="0.2">
      <c r="A56" s="113" t="s">
        <v>485</v>
      </c>
      <c r="B56" s="67" t="s">
        <v>6</v>
      </c>
      <c r="C56" s="114">
        <v>17</v>
      </c>
      <c r="D56" s="9"/>
      <c r="E56" s="10" t="s">
        <v>135</v>
      </c>
      <c r="F56" s="10" t="s">
        <v>135</v>
      </c>
      <c r="G56" s="10"/>
      <c r="H56" s="10"/>
      <c r="I56" s="11"/>
      <c r="J56" s="9" t="s">
        <v>135</v>
      </c>
      <c r="K56" s="10" t="s">
        <v>135</v>
      </c>
      <c r="L56" s="10"/>
      <c r="M56" s="10"/>
      <c r="N56" s="10"/>
      <c r="O56" s="10"/>
      <c r="P56" s="11"/>
      <c r="Q56" s="12">
        <v>300</v>
      </c>
      <c r="R56" s="13">
        <v>0</v>
      </c>
      <c r="S56" s="13">
        <v>150</v>
      </c>
      <c r="T56" s="13">
        <v>0</v>
      </c>
      <c r="U56" s="14" t="s">
        <v>491</v>
      </c>
      <c r="V56" s="31" t="s">
        <v>80</v>
      </c>
      <c r="W56" s="3">
        <v>1</v>
      </c>
      <c r="X56" s="32">
        <v>1.25</v>
      </c>
      <c r="Y56" s="2" t="s">
        <v>80</v>
      </c>
      <c r="Z56" s="16">
        <v>2</v>
      </c>
      <c r="AA56" s="17">
        <v>50</v>
      </c>
      <c r="AB56" s="40" t="s">
        <v>492</v>
      </c>
      <c r="AC56" s="1" t="s">
        <v>493</v>
      </c>
      <c r="AD56" s="116" t="s">
        <v>493</v>
      </c>
      <c r="AE56" s="39" t="s">
        <v>83</v>
      </c>
      <c r="AF56" s="52">
        <v>30</v>
      </c>
      <c r="AG56" s="106">
        <v>30</v>
      </c>
      <c r="AH56" s="52">
        <v>3</v>
      </c>
      <c r="AI56" s="53" t="s">
        <v>137</v>
      </c>
      <c r="AJ56" s="27" t="s">
        <v>139</v>
      </c>
      <c r="AK56" s="54">
        <v>1</v>
      </c>
      <c r="AL56" s="55">
        <v>12</v>
      </c>
    </row>
    <row r="57" spans="1:38" ht="35.1" customHeight="1" x14ac:dyDescent="0.2">
      <c r="A57" s="113" t="s">
        <v>56</v>
      </c>
      <c r="B57" s="67" t="s">
        <v>0</v>
      </c>
      <c r="C57" s="114">
        <v>0</v>
      </c>
      <c r="D57" s="9"/>
      <c r="E57" s="10" t="s">
        <v>135</v>
      </c>
      <c r="F57" s="10"/>
      <c r="G57" s="10"/>
      <c r="H57" s="10"/>
      <c r="I57" s="11"/>
      <c r="J57" s="9" t="s">
        <v>135</v>
      </c>
      <c r="K57" s="10" t="s">
        <v>135</v>
      </c>
      <c r="L57" s="10" t="s">
        <v>135</v>
      </c>
      <c r="M57" s="10"/>
      <c r="N57" s="10" t="s">
        <v>135</v>
      </c>
      <c r="O57" s="10"/>
      <c r="P57" s="11"/>
      <c r="Q57" s="12">
        <v>882</v>
      </c>
      <c r="R57" s="13">
        <v>0</v>
      </c>
      <c r="S57" s="13">
        <v>67</v>
      </c>
      <c r="T57" s="13">
        <v>0</v>
      </c>
      <c r="U57" s="14" t="s">
        <v>156</v>
      </c>
      <c r="V57" s="31" t="s">
        <v>80</v>
      </c>
      <c r="W57" s="3">
        <v>4</v>
      </c>
      <c r="X57" s="32">
        <v>2</v>
      </c>
      <c r="Y57" s="2" t="s">
        <v>80</v>
      </c>
      <c r="Z57" s="33">
        <v>3</v>
      </c>
      <c r="AA57" s="34">
        <v>30</v>
      </c>
      <c r="AB57" s="40" t="s">
        <v>214</v>
      </c>
      <c r="AC57" s="1" t="s">
        <v>139</v>
      </c>
      <c r="AD57" s="116" t="s">
        <v>215</v>
      </c>
      <c r="AE57" s="39" t="s">
        <v>80</v>
      </c>
      <c r="AF57" s="52">
        <v>61</v>
      </c>
      <c r="AG57" s="106">
        <v>61</v>
      </c>
      <c r="AH57" s="52">
        <v>13</v>
      </c>
      <c r="AI57" s="53" t="s">
        <v>137</v>
      </c>
      <c r="AJ57" s="27" t="s">
        <v>177</v>
      </c>
      <c r="AK57" s="54">
        <v>22</v>
      </c>
      <c r="AL57" s="55">
        <v>96</v>
      </c>
    </row>
    <row r="58" spans="1:38" ht="35.1" customHeight="1" x14ac:dyDescent="0.2">
      <c r="A58" s="113" t="s">
        <v>55</v>
      </c>
      <c r="B58" s="67" t="s">
        <v>2</v>
      </c>
      <c r="C58" s="114">
        <v>0</v>
      </c>
      <c r="D58" s="9"/>
      <c r="E58" s="10" t="s">
        <v>135</v>
      </c>
      <c r="F58" s="10"/>
      <c r="G58" s="10"/>
      <c r="H58" s="10"/>
      <c r="I58" s="11"/>
      <c r="J58" s="9"/>
      <c r="K58" s="10"/>
      <c r="L58" s="10"/>
      <c r="M58" s="10" t="s">
        <v>135</v>
      </c>
      <c r="N58" s="10"/>
      <c r="O58" s="10" t="s">
        <v>135</v>
      </c>
      <c r="P58" s="11"/>
      <c r="Q58" s="12">
        <v>550</v>
      </c>
      <c r="R58" s="13">
        <v>0</v>
      </c>
      <c r="S58" s="13">
        <v>0</v>
      </c>
      <c r="T58" s="13">
        <v>0</v>
      </c>
      <c r="U58" s="14" t="s">
        <v>241</v>
      </c>
      <c r="V58" s="31" t="s">
        <v>83</v>
      </c>
      <c r="W58" s="3">
        <v>4</v>
      </c>
      <c r="X58" s="32">
        <v>2</v>
      </c>
      <c r="Y58" s="2" t="s">
        <v>80</v>
      </c>
      <c r="Z58" s="33">
        <v>1</v>
      </c>
      <c r="AA58" s="34">
        <v>2</v>
      </c>
      <c r="AB58" s="40" t="s">
        <v>196</v>
      </c>
      <c r="AC58" s="1" t="s">
        <v>177</v>
      </c>
      <c r="AD58" s="116" t="s">
        <v>159</v>
      </c>
      <c r="AE58" s="39" t="s">
        <v>80</v>
      </c>
      <c r="AF58" s="52">
        <v>29</v>
      </c>
      <c r="AG58" s="106">
        <v>29</v>
      </c>
      <c r="AH58" s="52">
        <v>4.5</v>
      </c>
      <c r="AI58" s="53">
        <v>25</v>
      </c>
      <c r="AJ58" s="27" t="s">
        <v>174</v>
      </c>
      <c r="AK58" s="54">
        <v>8</v>
      </c>
      <c r="AL58" s="55">
        <v>48</v>
      </c>
    </row>
    <row r="59" spans="1:38" ht="35.1" customHeight="1" x14ac:dyDescent="0.2">
      <c r="A59" s="113" t="s">
        <v>54</v>
      </c>
      <c r="B59" s="67" t="s">
        <v>17</v>
      </c>
      <c r="C59" s="114">
        <v>3</v>
      </c>
      <c r="D59" s="9"/>
      <c r="E59" s="10"/>
      <c r="F59" s="10"/>
      <c r="G59" s="10" t="s">
        <v>135</v>
      </c>
      <c r="H59" s="10"/>
      <c r="I59" s="11" t="s">
        <v>135</v>
      </c>
      <c r="J59" s="9" t="s">
        <v>135</v>
      </c>
      <c r="K59" s="10" t="s">
        <v>135</v>
      </c>
      <c r="L59" s="10" t="s">
        <v>135</v>
      </c>
      <c r="M59" s="10"/>
      <c r="N59" s="10" t="s">
        <v>135</v>
      </c>
      <c r="O59" s="10"/>
      <c r="P59" s="11"/>
      <c r="Q59" s="12">
        <v>668</v>
      </c>
      <c r="R59" s="13">
        <v>80</v>
      </c>
      <c r="S59" s="13">
        <v>37</v>
      </c>
      <c r="T59" s="13">
        <v>0</v>
      </c>
      <c r="U59" s="14" t="s">
        <v>188</v>
      </c>
      <c r="V59" s="31" t="s">
        <v>83</v>
      </c>
      <c r="W59" s="3">
        <v>3</v>
      </c>
      <c r="X59" s="32">
        <v>3</v>
      </c>
      <c r="Y59" s="2" t="s">
        <v>80</v>
      </c>
      <c r="Z59" s="33">
        <v>1</v>
      </c>
      <c r="AA59" s="34">
        <v>2</v>
      </c>
      <c r="AB59" s="40" t="s">
        <v>196</v>
      </c>
      <c r="AC59" s="1" t="s">
        <v>177</v>
      </c>
      <c r="AD59" s="116" t="s">
        <v>177</v>
      </c>
      <c r="AE59" s="39" t="s">
        <v>80</v>
      </c>
      <c r="AF59" s="52">
        <v>23</v>
      </c>
      <c r="AG59" s="106">
        <v>23</v>
      </c>
      <c r="AH59" s="52">
        <v>3</v>
      </c>
      <c r="AI59" s="53" t="s">
        <v>137</v>
      </c>
      <c r="AJ59" s="27" t="s">
        <v>174</v>
      </c>
      <c r="AK59" s="54">
        <v>3</v>
      </c>
      <c r="AL59" s="55">
        <v>24</v>
      </c>
    </row>
    <row r="60" spans="1:38" ht="35.1" customHeight="1" x14ac:dyDescent="0.2">
      <c r="A60" s="113" t="s">
        <v>53</v>
      </c>
      <c r="B60" s="67" t="s">
        <v>6</v>
      </c>
      <c r="C60" s="114">
        <v>0</v>
      </c>
      <c r="D60" s="9"/>
      <c r="E60" s="10" t="s">
        <v>135</v>
      </c>
      <c r="F60" s="10"/>
      <c r="G60" s="10"/>
      <c r="H60" s="10"/>
      <c r="I60" s="11"/>
      <c r="J60" s="9"/>
      <c r="K60" s="10" t="s">
        <v>135</v>
      </c>
      <c r="L60" s="10"/>
      <c r="M60" s="10" t="s">
        <v>135</v>
      </c>
      <c r="N60" s="10"/>
      <c r="O60" s="10"/>
      <c r="P60" s="11"/>
      <c r="Q60" s="12">
        <v>300</v>
      </c>
      <c r="R60" s="13">
        <v>20</v>
      </c>
      <c r="S60" s="13">
        <v>0</v>
      </c>
      <c r="T60" s="13">
        <v>0</v>
      </c>
      <c r="U60" s="14" t="s">
        <v>242</v>
      </c>
      <c r="V60" s="31" t="s">
        <v>83</v>
      </c>
      <c r="W60" s="3">
        <v>1</v>
      </c>
      <c r="X60" s="32">
        <v>2</v>
      </c>
      <c r="Y60" s="2" t="s">
        <v>80</v>
      </c>
      <c r="Z60" s="33">
        <v>8</v>
      </c>
      <c r="AA60" s="34">
        <v>50</v>
      </c>
      <c r="AB60" s="40" t="s">
        <v>243</v>
      </c>
      <c r="AC60" s="1" t="s">
        <v>244</v>
      </c>
      <c r="AD60" s="116" t="s">
        <v>244</v>
      </c>
      <c r="AE60" s="39" t="s">
        <v>526</v>
      </c>
      <c r="AF60" s="52">
        <v>30</v>
      </c>
      <c r="AG60" s="106">
        <v>30</v>
      </c>
      <c r="AH60" s="52">
        <v>4</v>
      </c>
      <c r="AI60" s="53">
        <v>20</v>
      </c>
      <c r="AJ60" s="27" t="s">
        <v>177</v>
      </c>
      <c r="AK60" s="54">
        <v>5</v>
      </c>
      <c r="AL60" s="55">
        <v>24</v>
      </c>
    </row>
    <row r="61" spans="1:38" ht="35.1" customHeight="1" x14ac:dyDescent="0.2">
      <c r="A61" s="113" t="s">
        <v>52</v>
      </c>
      <c r="B61" s="67" t="s">
        <v>17</v>
      </c>
      <c r="C61" s="114">
        <v>0</v>
      </c>
      <c r="D61" s="9" t="s">
        <v>135</v>
      </c>
      <c r="E61" s="10"/>
      <c r="F61" s="10"/>
      <c r="G61" s="10"/>
      <c r="H61" s="10"/>
      <c r="I61" s="11"/>
      <c r="J61" s="9" t="s">
        <v>135</v>
      </c>
      <c r="K61" s="10"/>
      <c r="L61" s="10" t="s">
        <v>135</v>
      </c>
      <c r="M61" s="10"/>
      <c r="N61" s="10" t="s">
        <v>135</v>
      </c>
      <c r="O61" s="10"/>
      <c r="P61" s="11"/>
      <c r="Q61" s="12">
        <v>420</v>
      </c>
      <c r="R61" s="13">
        <v>0</v>
      </c>
      <c r="S61" s="13">
        <v>20</v>
      </c>
      <c r="T61" s="13">
        <v>0</v>
      </c>
      <c r="U61" s="14" t="s">
        <v>168</v>
      </c>
      <c r="V61" s="31" t="s">
        <v>80</v>
      </c>
      <c r="W61" s="3">
        <v>3</v>
      </c>
      <c r="X61" s="32">
        <v>1.25</v>
      </c>
      <c r="Y61" s="2" t="s">
        <v>80</v>
      </c>
      <c r="Z61" s="33">
        <v>3</v>
      </c>
      <c r="AA61" s="34">
        <v>15</v>
      </c>
      <c r="AB61" s="40" t="s">
        <v>82</v>
      </c>
      <c r="AC61" s="1" t="s">
        <v>139</v>
      </c>
      <c r="AD61" s="116" t="s">
        <v>138</v>
      </c>
      <c r="AE61" s="39" t="s">
        <v>80</v>
      </c>
      <c r="AF61" s="52">
        <v>22</v>
      </c>
      <c r="AG61" s="106">
        <v>22</v>
      </c>
      <c r="AH61" s="52">
        <v>5</v>
      </c>
      <c r="AI61" s="53">
        <v>20</v>
      </c>
      <c r="AJ61" s="27" t="s">
        <v>177</v>
      </c>
      <c r="AK61" s="54">
        <v>11</v>
      </c>
      <c r="AL61" s="55">
        <v>24</v>
      </c>
    </row>
    <row r="62" spans="1:38" ht="35.1" customHeight="1" x14ac:dyDescent="0.2">
      <c r="A62" s="113" t="s">
        <v>313</v>
      </c>
      <c r="B62" s="67" t="s">
        <v>6</v>
      </c>
      <c r="C62" s="114">
        <v>8</v>
      </c>
      <c r="D62" s="9"/>
      <c r="E62" s="10"/>
      <c r="F62" s="10"/>
      <c r="G62" s="10" t="s">
        <v>135</v>
      </c>
      <c r="H62" s="10"/>
      <c r="I62" s="11" t="s">
        <v>135</v>
      </c>
      <c r="J62" s="9" t="s">
        <v>135</v>
      </c>
      <c r="K62" s="10" t="s">
        <v>135</v>
      </c>
      <c r="L62" s="10"/>
      <c r="M62" s="10"/>
      <c r="N62" s="10"/>
      <c r="O62" s="10"/>
      <c r="P62" s="11"/>
      <c r="Q62" s="12">
        <v>200</v>
      </c>
      <c r="R62" s="13">
        <v>0</v>
      </c>
      <c r="S62" s="13">
        <v>360</v>
      </c>
      <c r="T62" s="13">
        <v>170</v>
      </c>
      <c r="U62" s="14" t="s">
        <v>338</v>
      </c>
      <c r="V62" s="31" t="s">
        <v>80</v>
      </c>
      <c r="W62" s="3">
        <v>2</v>
      </c>
      <c r="X62" s="32">
        <v>2</v>
      </c>
      <c r="Y62" s="2" t="s">
        <v>80</v>
      </c>
      <c r="Z62" s="33">
        <v>3</v>
      </c>
      <c r="AA62" s="34">
        <v>15</v>
      </c>
      <c r="AB62" s="40" t="s">
        <v>345</v>
      </c>
      <c r="AC62" s="1" t="s">
        <v>139</v>
      </c>
      <c r="AD62" s="116" t="s">
        <v>138</v>
      </c>
      <c r="AE62" s="39" t="s">
        <v>80</v>
      </c>
      <c r="AF62" s="52">
        <v>22</v>
      </c>
      <c r="AG62" s="106">
        <v>27</v>
      </c>
      <c r="AH62" s="52">
        <v>5</v>
      </c>
      <c r="AI62" s="53" t="s">
        <v>137</v>
      </c>
      <c r="AJ62" s="27" t="s">
        <v>177</v>
      </c>
      <c r="AK62" s="54">
        <v>11</v>
      </c>
      <c r="AL62" s="55">
        <v>13</v>
      </c>
    </row>
    <row r="63" spans="1:38" ht="35.1" customHeight="1" x14ac:dyDescent="0.2">
      <c r="A63" s="113" t="s">
        <v>390</v>
      </c>
      <c r="B63" s="67" t="s">
        <v>6</v>
      </c>
      <c r="C63" s="114">
        <v>13</v>
      </c>
      <c r="D63" s="9" t="s">
        <v>135</v>
      </c>
      <c r="E63" s="10" t="s">
        <v>135</v>
      </c>
      <c r="F63" s="10"/>
      <c r="G63" s="10"/>
      <c r="H63" s="10"/>
      <c r="I63" s="11"/>
      <c r="J63" s="9"/>
      <c r="K63" s="10" t="s">
        <v>135</v>
      </c>
      <c r="L63" s="10" t="s">
        <v>135</v>
      </c>
      <c r="M63" s="10"/>
      <c r="N63" s="10"/>
      <c r="O63" s="10"/>
      <c r="P63" s="11" t="s">
        <v>135</v>
      </c>
      <c r="Q63" s="12">
        <v>534</v>
      </c>
      <c r="R63" s="13">
        <v>81</v>
      </c>
      <c r="S63" s="13">
        <v>0</v>
      </c>
      <c r="T63" s="13">
        <v>0</v>
      </c>
      <c r="U63" s="14" t="s">
        <v>391</v>
      </c>
      <c r="V63" s="31" t="s">
        <v>83</v>
      </c>
      <c r="W63" s="3">
        <v>3</v>
      </c>
      <c r="X63" s="32">
        <v>3</v>
      </c>
      <c r="Y63" s="2" t="s">
        <v>80</v>
      </c>
      <c r="Z63" s="33">
        <v>1</v>
      </c>
      <c r="AA63" s="34">
        <v>2</v>
      </c>
      <c r="AB63" s="40" t="s">
        <v>196</v>
      </c>
      <c r="AC63" s="1" t="s">
        <v>177</v>
      </c>
      <c r="AD63" s="116" t="s">
        <v>177</v>
      </c>
      <c r="AE63" s="39" t="s">
        <v>80</v>
      </c>
      <c r="AF63" s="52">
        <v>18</v>
      </c>
      <c r="AG63" s="106">
        <v>18</v>
      </c>
      <c r="AH63" s="52">
        <v>1.5</v>
      </c>
      <c r="AI63" s="53">
        <v>15</v>
      </c>
      <c r="AJ63" s="27" t="s">
        <v>174</v>
      </c>
      <c r="AK63" s="54">
        <v>2</v>
      </c>
      <c r="AL63" s="55">
        <v>24</v>
      </c>
    </row>
    <row r="64" spans="1:38" ht="35.1" customHeight="1" x14ac:dyDescent="0.2">
      <c r="A64" s="113" t="s">
        <v>51</v>
      </c>
      <c r="B64" s="67" t="s">
        <v>0</v>
      </c>
      <c r="C64" s="114">
        <v>0</v>
      </c>
      <c r="D64" s="9" t="s">
        <v>135</v>
      </c>
      <c r="E64" s="10"/>
      <c r="F64" s="10"/>
      <c r="G64" s="10"/>
      <c r="H64" s="10"/>
      <c r="I64" s="11"/>
      <c r="J64" s="9"/>
      <c r="K64" s="10"/>
      <c r="L64" s="10"/>
      <c r="M64" s="10"/>
      <c r="N64" s="10" t="s">
        <v>135</v>
      </c>
      <c r="O64" s="10"/>
      <c r="P64" s="11"/>
      <c r="Q64" s="12">
        <v>210</v>
      </c>
      <c r="R64" s="13">
        <v>20</v>
      </c>
      <c r="S64" s="13">
        <v>0</v>
      </c>
      <c r="T64" s="13">
        <v>0</v>
      </c>
      <c r="U64" s="14" t="s">
        <v>245</v>
      </c>
      <c r="V64" s="31" t="s">
        <v>83</v>
      </c>
      <c r="W64" s="3">
        <v>1</v>
      </c>
      <c r="X64" s="32">
        <v>1.25</v>
      </c>
      <c r="Y64" s="2" t="s">
        <v>385</v>
      </c>
      <c r="Z64" s="33">
        <v>3</v>
      </c>
      <c r="AA64" s="34">
        <v>30</v>
      </c>
      <c r="AB64" s="40" t="s">
        <v>214</v>
      </c>
      <c r="AC64" s="1" t="s">
        <v>215</v>
      </c>
      <c r="AD64" s="116" t="s">
        <v>215</v>
      </c>
      <c r="AE64" s="39" t="s">
        <v>526</v>
      </c>
      <c r="AF64" s="52">
        <v>21</v>
      </c>
      <c r="AG64" s="106">
        <v>21</v>
      </c>
      <c r="AH64" s="52">
        <v>3</v>
      </c>
      <c r="AI64" s="53">
        <v>16</v>
      </c>
      <c r="AJ64" s="27" t="s">
        <v>159</v>
      </c>
      <c r="AK64" s="54">
        <v>4</v>
      </c>
      <c r="AL64" s="55">
        <v>12</v>
      </c>
    </row>
    <row r="65" spans="1:38" ht="35.1" customHeight="1" x14ac:dyDescent="0.2">
      <c r="A65" s="113" t="s">
        <v>50</v>
      </c>
      <c r="B65" s="67" t="s">
        <v>6</v>
      </c>
      <c r="C65" s="114">
        <v>5</v>
      </c>
      <c r="D65" s="9"/>
      <c r="E65" s="10"/>
      <c r="F65" s="10" t="s">
        <v>135</v>
      </c>
      <c r="G65" s="10" t="s">
        <v>135</v>
      </c>
      <c r="H65" s="10"/>
      <c r="I65" s="11"/>
      <c r="J65" s="9" t="s">
        <v>135</v>
      </c>
      <c r="K65" s="10" t="s">
        <v>135</v>
      </c>
      <c r="L65" s="10"/>
      <c r="M65" s="10"/>
      <c r="N65" s="10"/>
      <c r="O65" s="10" t="s">
        <v>135</v>
      </c>
      <c r="P65" s="11"/>
      <c r="Q65" s="12">
        <v>200</v>
      </c>
      <c r="R65" s="13">
        <v>0</v>
      </c>
      <c r="S65" s="13">
        <v>300</v>
      </c>
      <c r="T65" s="13">
        <v>170</v>
      </c>
      <c r="U65" s="14" t="s">
        <v>246</v>
      </c>
      <c r="V65" s="31" t="s">
        <v>80</v>
      </c>
      <c r="W65" s="3">
        <v>2</v>
      </c>
      <c r="X65" s="32">
        <v>1.8</v>
      </c>
      <c r="Y65" s="2" t="s">
        <v>80</v>
      </c>
      <c r="Z65" s="33">
        <v>3</v>
      </c>
      <c r="AA65" s="34">
        <v>8</v>
      </c>
      <c r="AB65" s="40" t="s">
        <v>247</v>
      </c>
      <c r="AC65" s="1" t="s">
        <v>178</v>
      </c>
      <c r="AD65" s="116" t="s">
        <v>346</v>
      </c>
      <c r="AE65" s="39" t="s">
        <v>80</v>
      </c>
      <c r="AF65" s="52">
        <v>25</v>
      </c>
      <c r="AG65" s="106">
        <v>25</v>
      </c>
      <c r="AH65" s="52">
        <v>5</v>
      </c>
      <c r="AI65" s="53">
        <v>30</v>
      </c>
      <c r="AJ65" s="27" t="s">
        <v>177</v>
      </c>
      <c r="AK65" s="54">
        <v>11</v>
      </c>
      <c r="AL65" s="55">
        <v>13</v>
      </c>
    </row>
    <row r="66" spans="1:38" ht="35.1" customHeight="1" x14ac:dyDescent="0.2">
      <c r="A66" s="113" t="s">
        <v>512</v>
      </c>
      <c r="B66" s="67" t="s">
        <v>6</v>
      </c>
      <c r="C66" s="114">
        <v>19</v>
      </c>
      <c r="D66" s="9" t="s">
        <v>135</v>
      </c>
      <c r="E66" s="10"/>
      <c r="F66" s="10"/>
      <c r="G66" s="10"/>
      <c r="H66" s="10"/>
      <c r="I66" s="11"/>
      <c r="J66" s="9"/>
      <c r="K66" s="10"/>
      <c r="L66" s="10" t="s">
        <v>135</v>
      </c>
      <c r="M66" s="10"/>
      <c r="N66" s="10"/>
      <c r="O66" s="10"/>
      <c r="P66" s="11"/>
      <c r="Q66" s="12">
        <v>200</v>
      </c>
      <c r="R66" s="13">
        <v>0</v>
      </c>
      <c r="S66" s="13">
        <v>0</v>
      </c>
      <c r="T66" s="13">
        <v>0</v>
      </c>
      <c r="U66" s="14" t="s">
        <v>297</v>
      </c>
      <c r="V66" s="31" t="s">
        <v>80</v>
      </c>
      <c r="W66" s="3">
        <v>2</v>
      </c>
      <c r="X66" s="32">
        <v>1.25</v>
      </c>
      <c r="Y66" s="2" t="s">
        <v>80</v>
      </c>
      <c r="Z66" s="16">
        <v>1</v>
      </c>
      <c r="AA66" s="17">
        <v>2</v>
      </c>
      <c r="AB66" s="40" t="s">
        <v>196</v>
      </c>
      <c r="AC66" s="1" t="s">
        <v>177</v>
      </c>
      <c r="AD66" s="116" t="s">
        <v>159</v>
      </c>
      <c r="AE66" s="39" t="s">
        <v>83</v>
      </c>
      <c r="AF66" s="52">
        <v>10</v>
      </c>
      <c r="AG66" s="106">
        <v>10</v>
      </c>
      <c r="AH66" s="52">
        <v>0.57999999999999996</v>
      </c>
      <c r="AI66" s="53">
        <v>12</v>
      </c>
      <c r="AJ66" s="27" t="s">
        <v>177</v>
      </c>
      <c r="AK66" s="54">
        <v>6</v>
      </c>
      <c r="AL66" s="55">
        <v>6</v>
      </c>
    </row>
    <row r="67" spans="1:38" ht="35.1" customHeight="1" x14ac:dyDescent="0.2">
      <c r="A67" s="113" t="s">
        <v>49</v>
      </c>
      <c r="B67" s="67" t="s">
        <v>0</v>
      </c>
      <c r="C67" s="114">
        <v>0</v>
      </c>
      <c r="D67" s="9"/>
      <c r="E67" s="10" t="s">
        <v>135</v>
      </c>
      <c r="F67" s="10"/>
      <c r="G67" s="10"/>
      <c r="H67" s="10"/>
      <c r="I67" s="11"/>
      <c r="J67" s="9"/>
      <c r="K67" s="10" t="s">
        <v>135</v>
      </c>
      <c r="L67" s="10"/>
      <c r="M67" s="10" t="s">
        <v>135</v>
      </c>
      <c r="N67" s="10"/>
      <c r="O67" s="10"/>
      <c r="P67" s="11"/>
      <c r="Q67" s="12">
        <v>220</v>
      </c>
      <c r="R67" s="13">
        <v>40</v>
      </c>
      <c r="S67" s="13">
        <v>0</v>
      </c>
      <c r="T67" s="13">
        <v>0</v>
      </c>
      <c r="U67" s="14" t="s">
        <v>248</v>
      </c>
      <c r="V67" s="31" t="s">
        <v>83</v>
      </c>
      <c r="W67" s="3">
        <v>2</v>
      </c>
      <c r="X67" s="32">
        <v>2</v>
      </c>
      <c r="Y67" s="2" t="s">
        <v>80</v>
      </c>
      <c r="Z67" s="33">
        <v>1</v>
      </c>
      <c r="AA67" s="34">
        <v>2</v>
      </c>
      <c r="AB67" s="40" t="s">
        <v>196</v>
      </c>
      <c r="AC67" s="1" t="s">
        <v>159</v>
      </c>
      <c r="AD67" s="116" t="s">
        <v>159</v>
      </c>
      <c r="AE67" s="39" t="s">
        <v>80</v>
      </c>
      <c r="AF67" s="52">
        <v>10</v>
      </c>
      <c r="AG67" s="106">
        <v>10</v>
      </c>
      <c r="AH67" s="52">
        <v>1.5</v>
      </c>
      <c r="AI67" s="53">
        <v>15</v>
      </c>
      <c r="AJ67" s="27" t="s">
        <v>162</v>
      </c>
      <c r="AK67" s="54">
        <v>5</v>
      </c>
      <c r="AL67" s="55">
        <v>12</v>
      </c>
    </row>
    <row r="68" spans="1:38" ht="35.1" customHeight="1" x14ac:dyDescent="0.2">
      <c r="A68" s="113" t="s">
        <v>48</v>
      </c>
      <c r="B68" s="67" t="s">
        <v>8</v>
      </c>
      <c r="C68" s="114">
        <v>4</v>
      </c>
      <c r="D68" s="9"/>
      <c r="E68" s="10"/>
      <c r="F68" s="10"/>
      <c r="G68" s="10"/>
      <c r="H68" s="10" t="s">
        <v>135</v>
      </c>
      <c r="I68" s="11"/>
      <c r="J68" s="9"/>
      <c r="K68" s="10" t="s">
        <v>135</v>
      </c>
      <c r="L68" s="10"/>
      <c r="M68" s="10"/>
      <c r="N68" s="10" t="s">
        <v>135</v>
      </c>
      <c r="O68" s="10"/>
      <c r="P68" s="11"/>
      <c r="Q68" s="12">
        <v>180</v>
      </c>
      <c r="R68" s="13">
        <v>20</v>
      </c>
      <c r="S68" s="13">
        <v>0</v>
      </c>
      <c r="T68" s="13">
        <v>0</v>
      </c>
      <c r="U68" s="14" t="s">
        <v>188</v>
      </c>
      <c r="V68" s="31" t="s">
        <v>83</v>
      </c>
      <c r="W68" s="3">
        <v>1</v>
      </c>
      <c r="X68" s="32">
        <v>1</v>
      </c>
      <c r="Y68" s="2" t="s">
        <v>80</v>
      </c>
      <c r="Z68" s="33">
        <v>1</v>
      </c>
      <c r="AA68" s="34">
        <v>4</v>
      </c>
      <c r="AB68" s="40" t="s">
        <v>173</v>
      </c>
      <c r="AC68" s="1" t="s">
        <v>162</v>
      </c>
      <c r="AD68" s="116" t="s">
        <v>174</v>
      </c>
      <c r="AE68" s="39" t="s">
        <v>83</v>
      </c>
      <c r="AF68" s="52">
        <v>13</v>
      </c>
      <c r="AG68" s="106">
        <v>13</v>
      </c>
      <c r="AH68" s="52">
        <v>4</v>
      </c>
      <c r="AI68" s="53">
        <v>15</v>
      </c>
      <c r="AJ68" s="27" t="s">
        <v>177</v>
      </c>
      <c r="AK68" s="54">
        <v>8</v>
      </c>
      <c r="AL68" s="55">
        <v>12</v>
      </c>
    </row>
    <row r="69" spans="1:38" s="51" customFormat="1" ht="35.1" customHeight="1" x14ac:dyDescent="0.2">
      <c r="A69" s="113" t="s">
        <v>47</v>
      </c>
      <c r="B69" s="67" t="s">
        <v>0</v>
      </c>
      <c r="C69" s="114">
        <v>1</v>
      </c>
      <c r="D69" s="9"/>
      <c r="E69" s="10" t="s">
        <v>135</v>
      </c>
      <c r="F69" s="10"/>
      <c r="G69" s="10"/>
      <c r="H69" s="10"/>
      <c r="I69" s="11"/>
      <c r="J69" s="9"/>
      <c r="K69" s="10"/>
      <c r="L69" s="10" t="s">
        <v>135</v>
      </c>
      <c r="M69" s="10"/>
      <c r="N69" s="10" t="s">
        <v>135</v>
      </c>
      <c r="O69" s="10"/>
      <c r="P69" s="11"/>
      <c r="Q69" s="12">
        <v>600</v>
      </c>
      <c r="R69" s="13">
        <v>0</v>
      </c>
      <c r="S69" s="13">
        <v>0</v>
      </c>
      <c r="T69" s="13">
        <v>0</v>
      </c>
      <c r="U69" s="14" t="s">
        <v>198</v>
      </c>
      <c r="V69" s="31" t="s">
        <v>80</v>
      </c>
      <c r="W69" s="3">
        <v>2</v>
      </c>
      <c r="X69" s="32">
        <v>1</v>
      </c>
      <c r="Y69" s="2" t="s">
        <v>80</v>
      </c>
      <c r="Z69" s="33">
        <v>1</v>
      </c>
      <c r="AA69" s="34">
        <v>2</v>
      </c>
      <c r="AB69" s="40" t="s">
        <v>196</v>
      </c>
      <c r="AC69" s="1" t="s">
        <v>159</v>
      </c>
      <c r="AD69" s="116" t="s">
        <v>159</v>
      </c>
      <c r="AE69" s="39" t="s">
        <v>80</v>
      </c>
      <c r="AF69" s="52">
        <v>26</v>
      </c>
      <c r="AG69" s="106">
        <v>26</v>
      </c>
      <c r="AH69" s="52">
        <v>8</v>
      </c>
      <c r="AI69" s="53" t="s">
        <v>137</v>
      </c>
      <c r="AJ69" s="27" t="s">
        <v>184</v>
      </c>
      <c r="AK69" s="54">
        <v>8</v>
      </c>
      <c r="AL69" s="55">
        <v>24</v>
      </c>
    </row>
    <row r="70" spans="1:38" s="51" customFormat="1" ht="35.1" customHeight="1" x14ac:dyDescent="0.2">
      <c r="A70" s="113" t="s">
        <v>46</v>
      </c>
      <c r="B70" s="67" t="s">
        <v>6</v>
      </c>
      <c r="C70" s="114">
        <v>5</v>
      </c>
      <c r="D70" s="9"/>
      <c r="E70" s="10"/>
      <c r="F70" s="10"/>
      <c r="G70" s="10"/>
      <c r="H70" s="10"/>
      <c r="I70" s="11" t="s">
        <v>135</v>
      </c>
      <c r="J70" s="9" t="s">
        <v>135</v>
      </c>
      <c r="K70" s="10"/>
      <c r="L70" s="10"/>
      <c r="M70" s="10"/>
      <c r="N70" s="10"/>
      <c r="O70" s="10" t="s">
        <v>135</v>
      </c>
      <c r="P70" s="11"/>
      <c r="Q70" s="12">
        <v>200</v>
      </c>
      <c r="R70" s="13">
        <v>0</v>
      </c>
      <c r="S70" s="13">
        <v>144</v>
      </c>
      <c r="T70" s="13">
        <v>86</v>
      </c>
      <c r="U70" s="14" t="s">
        <v>249</v>
      </c>
      <c r="V70" s="31" t="s">
        <v>80</v>
      </c>
      <c r="W70" s="3">
        <v>2</v>
      </c>
      <c r="X70" s="32">
        <v>1.5</v>
      </c>
      <c r="Y70" s="2" t="s">
        <v>80</v>
      </c>
      <c r="Z70" s="33">
        <v>6</v>
      </c>
      <c r="AA70" s="34">
        <v>500</v>
      </c>
      <c r="AB70" s="40" t="s">
        <v>250</v>
      </c>
      <c r="AC70" s="1" t="s">
        <v>251</v>
      </c>
      <c r="AD70" s="116" t="s">
        <v>251</v>
      </c>
      <c r="AE70" s="39" t="s">
        <v>83</v>
      </c>
      <c r="AF70" s="52">
        <v>26</v>
      </c>
      <c r="AG70" s="106">
        <v>26</v>
      </c>
      <c r="AH70" s="52">
        <v>3</v>
      </c>
      <c r="AI70" s="53" t="s">
        <v>137</v>
      </c>
      <c r="AJ70" s="27" t="s">
        <v>177</v>
      </c>
      <c r="AK70" s="54">
        <v>2</v>
      </c>
      <c r="AL70" s="55">
        <v>12</v>
      </c>
    </row>
    <row r="71" spans="1:38" s="51" customFormat="1" ht="35.1" customHeight="1" x14ac:dyDescent="0.2">
      <c r="A71" s="113" t="s">
        <v>45</v>
      </c>
      <c r="B71" s="67" t="s">
        <v>0</v>
      </c>
      <c r="C71" s="114">
        <v>0</v>
      </c>
      <c r="D71" s="9"/>
      <c r="E71" s="10" t="s">
        <v>135</v>
      </c>
      <c r="F71" s="10"/>
      <c r="G71" s="10"/>
      <c r="H71" s="10"/>
      <c r="I71" s="11"/>
      <c r="J71" s="9"/>
      <c r="K71" s="10" t="s">
        <v>135</v>
      </c>
      <c r="L71" s="10" t="s">
        <v>135</v>
      </c>
      <c r="M71" s="10"/>
      <c r="N71" s="10" t="s">
        <v>135</v>
      </c>
      <c r="O71" s="10"/>
      <c r="P71" s="11"/>
      <c r="Q71" s="12">
        <v>705</v>
      </c>
      <c r="R71" s="13">
        <v>0</v>
      </c>
      <c r="S71" s="13">
        <v>0</v>
      </c>
      <c r="T71" s="13">
        <v>0</v>
      </c>
      <c r="U71" s="14" t="s">
        <v>198</v>
      </c>
      <c r="V71" s="31" t="s">
        <v>83</v>
      </c>
      <c r="W71" s="3">
        <v>3</v>
      </c>
      <c r="X71" s="32">
        <v>3</v>
      </c>
      <c r="Y71" s="2" t="s">
        <v>80</v>
      </c>
      <c r="Z71" s="33">
        <v>1</v>
      </c>
      <c r="AA71" s="34">
        <v>2</v>
      </c>
      <c r="AB71" s="40" t="s">
        <v>196</v>
      </c>
      <c r="AC71" s="1" t="s">
        <v>177</v>
      </c>
      <c r="AD71" s="116" t="s">
        <v>177</v>
      </c>
      <c r="AE71" s="39" t="s">
        <v>80</v>
      </c>
      <c r="AF71" s="52">
        <v>15</v>
      </c>
      <c r="AG71" s="106">
        <v>15</v>
      </c>
      <c r="AH71" s="52">
        <v>4</v>
      </c>
      <c r="AI71" s="53" t="s">
        <v>252</v>
      </c>
      <c r="AJ71" s="27" t="s">
        <v>174</v>
      </c>
      <c r="AK71" s="54">
        <v>3</v>
      </c>
      <c r="AL71" s="55">
        <v>36</v>
      </c>
    </row>
    <row r="72" spans="1:38" s="51" customFormat="1" ht="35.1" customHeight="1" x14ac:dyDescent="0.2">
      <c r="A72" s="113" t="s">
        <v>323</v>
      </c>
      <c r="B72" s="67" t="s">
        <v>6</v>
      </c>
      <c r="C72" s="114">
        <v>10</v>
      </c>
      <c r="D72" s="9"/>
      <c r="E72" s="10"/>
      <c r="F72" s="10"/>
      <c r="G72" s="10"/>
      <c r="H72" s="10"/>
      <c r="I72" s="11" t="s">
        <v>135</v>
      </c>
      <c r="J72" s="9" t="s">
        <v>135</v>
      </c>
      <c r="K72" s="10"/>
      <c r="L72" s="10" t="s">
        <v>135</v>
      </c>
      <c r="M72" s="10"/>
      <c r="N72" s="10" t="s">
        <v>135</v>
      </c>
      <c r="O72" s="10"/>
      <c r="P72" s="11"/>
      <c r="Q72" s="12">
        <v>240</v>
      </c>
      <c r="R72" s="13">
        <v>0</v>
      </c>
      <c r="S72" s="13">
        <v>220</v>
      </c>
      <c r="T72" s="13">
        <v>0</v>
      </c>
      <c r="U72" s="14" t="s">
        <v>161</v>
      </c>
      <c r="V72" s="31" t="s">
        <v>80</v>
      </c>
      <c r="W72" s="3">
        <v>2</v>
      </c>
      <c r="X72" s="32">
        <v>1</v>
      </c>
      <c r="Y72" s="2" t="s">
        <v>80</v>
      </c>
      <c r="Z72" s="16">
        <v>1</v>
      </c>
      <c r="AA72" s="17">
        <v>6</v>
      </c>
      <c r="AB72" s="40" t="s">
        <v>191</v>
      </c>
      <c r="AC72" s="1" t="s">
        <v>169</v>
      </c>
      <c r="AD72" s="116" t="s">
        <v>169</v>
      </c>
      <c r="AE72" s="2" t="s">
        <v>80</v>
      </c>
      <c r="AF72" s="52">
        <v>50</v>
      </c>
      <c r="AG72" s="106">
        <v>50</v>
      </c>
      <c r="AH72" s="52">
        <v>6</v>
      </c>
      <c r="AI72" s="53" t="s">
        <v>137</v>
      </c>
      <c r="AJ72" s="27" t="s">
        <v>346</v>
      </c>
      <c r="AK72" s="54">
        <v>1</v>
      </c>
      <c r="AL72" s="55">
        <v>24</v>
      </c>
    </row>
    <row r="73" spans="1:38" ht="35.1" customHeight="1" x14ac:dyDescent="0.2">
      <c r="A73" s="113" t="s">
        <v>44</v>
      </c>
      <c r="B73" s="67" t="s">
        <v>12</v>
      </c>
      <c r="C73" s="114">
        <v>3</v>
      </c>
      <c r="D73" s="9"/>
      <c r="E73" s="10"/>
      <c r="F73" s="10"/>
      <c r="G73" s="10"/>
      <c r="H73" s="10"/>
      <c r="I73" s="11" t="s">
        <v>135</v>
      </c>
      <c r="J73" s="9"/>
      <c r="K73" s="10" t="s">
        <v>135</v>
      </c>
      <c r="L73" s="10" t="s">
        <v>135</v>
      </c>
      <c r="M73" s="10" t="s">
        <v>135</v>
      </c>
      <c r="N73" s="10"/>
      <c r="O73" s="10"/>
      <c r="P73" s="11"/>
      <c r="Q73" s="12">
        <v>550</v>
      </c>
      <c r="R73" s="13">
        <v>0</v>
      </c>
      <c r="S73" s="13">
        <v>0</v>
      </c>
      <c r="T73" s="13">
        <v>0</v>
      </c>
      <c r="U73" s="14" t="s">
        <v>253</v>
      </c>
      <c r="V73" s="31" t="s">
        <v>80</v>
      </c>
      <c r="W73" s="3">
        <v>4</v>
      </c>
      <c r="X73" s="32">
        <v>2</v>
      </c>
      <c r="Y73" s="2" t="s">
        <v>80</v>
      </c>
      <c r="Z73" s="33">
        <v>2</v>
      </c>
      <c r="AA73" s="34">
        <v>30</v>
      </c>
      <c r="AB73" s="40" t="s">
        <v>254</v>
      </c>
      <c r="AC73" s="1" t="s">
        <v>255</v>
      </c>
      <c r="AD73" s="116" t="s">
        <v>255</v>
      </c>
      <c r="AE73" s="39" t="s">
        <v>526</v>
      </c>
      <c r="AF73" s="52">
        <v>20</v>
      </c>
      <c r="AG73" s="106">
        <v>20</v>
      </c>
      <c r="AH73" s="52">
        <v>3</v>
      </c>
      <c r="AI73" s="53">
        <v>20</v>
      </c>
      <c r="AJ73" s="27" t="s">
        <v>177</v>
      </c>
      <c r="AK73" s="54">
        <v>12</v>
      </c>
      <c r="AL73" s="55">
        <v>24</v>
      </c>
    </row>
    <row r="74" spans="1:38" ht="35.1" customHeight="1" x14ac:dyDescent="0.2">
      <c r="A74" s="113" t="s">
        <v>43</v>
      </c>
      <c r="B74" s="67" t="s">
        <v>6</v>
      </c>
      <c r="C74" s="114">
        <v>0</v>
      </c>
      <c r="D74" s="9"/>
      <c r="E74" s="10" t="s">
        <v>135</v>
      </c>
      <c r="F74" s="10"/>
      <c r="G74" s="10"/>
      <c r="H74" s="10" t="s">
        <v>135</v>
      </c>
      <c r="I74" s="11"/>
      <c r="J74" s="9" t="s">
        <v>135</v>
      </c>
      <c r="K74" s="10"/>
      <c r="L74" s="10"/>
      <c r="M74" s="10"/>
      <c r="N74" s="10" t="s">
        <v>135</v>
      </c>
      <c r="O74" s="10"/>
      <c r="P74" s="11"/>
      <c r="Q74" s="12">
        <v>210</v>
      </c>
      <c r="R74" s="13">
        <v>0</v>
      </c>
      <c r="S74" s="13">
        <v>210</v>
      </c>
      <c r="T74" s="13">
        <v>0</v>
      </c>
      <c r="U74" s="14" t="s">
        <v>198</v>
      </c>
      <c r="V74" s="31" t="s">
        <v>80</v>
      </c>
      <c r="W74" s="3">
        <v>2</v>
      </c>
      <c r="X74" s="32">
        <v>1</v>
      </c>
      <c r="Y74" s="2" t="s">
        <v>80</v>
      </c>
      <c r="Z74" s="33">
        <v>1</v>
      </c>
      <c r="AA74" s="34">
        <v>2</v>
      </c>
      <c r="AB74" s="40" t="s">
        <v>196</v>
      </c>
      <c r="AC74" s="1" t="s">
        <v>177</v>
      </c>
      <c r="AD74" s="116" t="s">
        <v>177</v>
      </c>
      <c r="AE74" s="39" t="s">
        <v>80</v>
      </c>
      <c r="AF74" s="52">
        <v>72</v>
      </c>
      <c r="AG74" s="106">
        <v>72</v>
      </c>
      <c r="AH74" s="52">
        <v>14</v>
      </c>
      <c r="AI74" s="53" t="s">
        <v>137</v>
      </c>
      <c r="AJ74" s="27" t="s">
        <v>174</v>
      </c>
      <c r="AK74" s="54">
        <v>3</v>
      </c>
      <c r="AL74" s="55">
        <v>24</v>
      </c>
    </row>
    <row r="75" spans="1:38" ht="35.1" customHeight="1" x14ac:dyDescent="0.2">
      <c r="A75" s="113" t="s">
        <v>484</v>
      </c>
      <c r="B75" s="67" t="s">
        <v>8</v>
      </c>
      <c r="C75" s="114">
        <v>17</v>
      </c>
      <c r="D75" s="9"/>
      <c r="E75" s="10" t="s">
        <v>135</v>
      </c>
      <c r="F75" s="10"/>
      <c r="G75" s="10"/>
      <c r="H75" s="10"/>
      <c r="I75" s="11"/>
      <c r="J75" s="9"/>
      <c r="K75" s="10" t="s">
        <v>135</v>
      </c>
      <c r="L75" s="10" t="s">
        <v>135</v>
      </c>
      <c r="M75" s="10"/>
      <c r="N75" s="10" t="s">
        <v>135</v>
      </c>
      <c r="O75" s="10"/>
      <c r="P75" s="11"/>
      <c r="Q75" s="12">
        <v>850</v>
      </c>
      <c r="R75" s="13">
        <v>40</v>
      </c>
      <c r="S75" s="13">
        <v>0</v>
      </c>
      <c r="T75" s="13">
        <v>0</v>
      </c>
      <c r="U75" s="14" t="s">
        <v>360</v>
      </c>
      <c r="V75" s="31" t="s">
        <v>83</v>
      </c>
      <c r="W75" s="3">
        <v>4</v>
      </c>
      <c r="X75" s="32">
        <v>3</v>
      </c>
      <c r="Y75" s="2" t="s">
        <v>80</v>
      </c>
      <c r="Z75" s="16">
        <v>1</v>
      </c>
      <c r="AA75" s="17">
        <v>2</v>
      </c>
      <c r="AB75" s="40" t="s">
        <v>196</v>
      </c>
      <c r="AC75" s="1" t="s">
        <v>159</v>
      </c>
      <c r="AD75" s="116" t="s">
        <v>177</v>
      </c>
      <c r="AE75" s="39" t="s">
        <v>80</v>
      </c>
      <c r="AF75" s="52">
        <v>35</v>
      </c>
      <c r="AG75" s="106">
        <v>35</v>
      </c>
      <c r="AH75" s="52">
        <v>3</v>
      </c>
      <c r="AI75" s="53" t="s">
        <v>137</v>
      </c>
      <c r="AJ75" s="27" t="s">
        <v>162</v>
      </c>
      <c r="AK75" s="54">
        <v>6</v>
      </c>
      <c r="AL75" s="55">
        <v>24</v>
      </c>
    </row>
    <row r="76" spans="1:38" ht="35.1" customHeight="1" x14ac:dyDescent="0.2">
      <c r="A76" s="113" t="s">
        <v>392</v>
      </c>
      <c r="B76" s="67" t="s">
        <v>17</v>
      </c>
      <c r="C76" s="114">
        <v>13</v>
      </c>
      <c r="D76" s="9"/>
      <c r="E76" s="10"/>
      <c r="F76" s="10"/>
      <c r="G76" s="10"/>
      <c r="H76" s="10"/>
      <c r="I76" s="11" t="s">
        <v>135</v>
      </c>
      <c r="J76" s="9"/>
      <c r="K76" s="10"/>
      <c r="L76" s="10" t="s">
        <v>135</v>
      </c>
      <c r="M76" s="10"/>
      <c r="N76" s="10" t="s">
        <v>135</v>
      </c>
      <c r="O76" s="10"/>
      <c r="P76" s="11"/>
      <c r="Q76" s="12">
        <v>930</v>
      </c>
      <c r="R76" s="13">
        <v>0</v>
      </c>
      <c r="S76" s="13">
        <v>0</v>
      </c>
      <c r="T76" s="13">
        <v>0</v>
      </c>
      <c r="U76" s="14" t="s">
        <v>245</v>
      </c>
      <c r="V76" s="31" t="s">
        <v>80</v>
      </c>
      <c r="W76" s="3">
        <v>2</v>
      </c>
      <c r="X76" s="32">
        <v>3</v>
      </c>
      <c r="Y76" s="2" t="s">
        <v>80</v>
      </c>
      <c r="Z76" s="33">
        <v>1</v>
      </c>
      <c r="AA76" s="34">
        <v>2</v>
      </c>
      <c r="AB76" s="40" t="s">
        <v>196</v>
      </c>
      <c r="AC76" s="1" t="s">
        <v>162</v>
      </c>
      <c r="AD76" s="116" t="s">
        <v>162</v>
      </c>
      <c r="AE76" s="39" t="s">
        <v>80</v>
      </c>
      <c r="AF76" s="52">
        <v>14</v>
      </c>
      <c r="AG76" s="106">
        <v>14</v>
      </c>
      <c r="AH76" s="52">
        <v>2</v>
      </c>
      <c r="AI76" s="53" t="s">
        <v>137</v>
      </c>
      <c r="AJ76" s="27" t="s">
        <v>157</v>
      </c>
      <c r="AK76" s="54">
        <v>2</v>
      </c>
      <c r="AL76" s="55">
        <v>12</v>
      </c>
    </row>
    <row r="77" spans="1:38" ht="35.1" customHeight="1" x14ac:dyDescent="0.2">
      <c r="A77" s="113" t="s">
        <v>42</v>
      </c>
      <c r="B77" s="67" t="s">
        <v>0</v>
      </c>
      <c r="C77" s="114">
        <v>6</v>
      </c>
      <c r="D77" s="9"/>
      <c r="E77" s="10" t="s">
        <v>135</v>
      </c>
      <c r="F77" s="10"/>
      <c r="G77" s="10"/>
      <c r="H77" s="10"/>
      <c r="I77" s="11"/>
      <c r="J77" s="9" t="s">
        <v>135</v>
      </c>
      <c r="K77" s="10" t="s">
        <v>135</v>
      </c>
      <c r="L77" s="10"/>
      <c r="M77" s="10"/>
      <c r="N77" s="10" t="s">
        <v>135</v>
      </c>
      <c r="O77" s="10"/>
      <c r="P77" s="11"/>
      <c r="Q77" s="12">
        <v>430</v>
      </c>
      <c r="R77" s="13">
        <v>0</v>
      </c>
      <c r="S77" s="13">
        <v>37</v>
      </c>
      <c r="T77" s="13">
        <v>0</v>
      </c>
      <c r="U77" s="14" t="s">
        <v>195</v>
      </c>
      <c r="V77" s="31" t="s">
        <v>80</v>
      </c>
      <c r="W77" s="3">
        <v>3</v>
      </c>
      <c r="X77" s="32">
        <v>2</v>
      </c>
      <c r="Y77" s="2" t="s">
        <v>80</v>
      </c>
      <c r="Z77" s="33">
        <v>1</v>
      </c>
      <c r="AA77" s="34">
        <v>2</v>
      </c>
      <c r="AB77" s="40" t="s">
        <v>196</v>
      </c>
      <c r="AC77" s="1" t="s">
        <v>177</v>
      </c>
      <c r="AD77" s="116" t="s">
        <v>177</v>
      </c>
      <c r="AE77" s="39" t="s">
        <v>80</v>
      </c>
      <c r="AF77" s="52">
        <v>30</v>
      </c>
      <c r="AG77" s="106">
        <v>30</v>
      </c>
      <c r="AH77" s="52">
        <v>3</v>
      </c>
      <c r="AI77" s="53" t="s">
        <v>137</v>
      </c>
      <c r="AJ77" s="27" t="s">
        <v>177</v>
      </c>
      <c r="AK77" s="54">
        <v>13</v>
      </c>
      <c r="AL77" s="55">
        <v>24</v>
      </c>
    </row>
    <row r="78" spans="1:38" ht="35.1" customHeight="1" x14ac:dyDescent="0.2">
      <c r="A78" s="113" t="s">
        <v>41</v>
      </c>
      <c r="B78" s="67" t="s">
        <v>8</v>
      </c>
      <c r="C78" s="114">
        <v>0</v>
      </c>
      <c r="D78" s="9" t="s">
        <v>135</v>
      </c>
      <c r="E78" s="10"/>
      <c r="F78" s="10"/>
      <c r="G78" s="10"/>
      <c r="H78" s="10"/>
      <c r="I78" s="11"/>
      <c r="J78" s="9"/>
      <c r="K78" s="10"/>
      <c r="L78" s="10"/>
      <c r="M78" s="10"/>
      <c r="N78" s="10" t="s">
        <v>135</v>
      </c>
      <c r="O78" s="10"/>
      <c r="P78" s="11"/>
      <c r="Q78" s="12">
        <v>400</v>
      </c>
      <c r="R78" s="13">
        <v>40</v>
      </c>
      <c r="S78" s="13">
        <v>0</v>
      </c>
      <c r="T78" s="13">
        <v>0</v>
      </c>
      <c r="U78" s="14" t="s">
        <v>188</v>
      </c>
      <c r="V78" s="31" t="s">
        <v>83</v>
      </c>
      <c r="W78" s="3">
        <v>2</v>
      </c>
      <c r="X78" s="32">
        <v>3</v>
      </c>
      <c r="Y78" s="2" t="s">
        <v>385</v>
      </c>
      <c r="Z78" s="33">
        <v>5</v>
      </c>
      <c r="AA78" s="34">
        <v>10</v>
      </c>
      <c r="AB78" s="40" t="s">
        <v>256</v>
      </c>
      <c r="AC78" s="1" t="s">
        <v>257</v>
      </c>
      <c r="AD78" s="116" t="s">
        <v>258</v>
      </c>
      <c r="AE78" s="41" t="s">
        <v>80</v>
      </c>
      <c r="AF78" s="52">
        <v>32</v>
      </c>
      <c r="AG78" s="106">
        <v>32</v>
      </c>
      <c r="AH78" s="52">
        <v>7</v>
      </c>
      <c r="AI78" s="53">
        <v>30</v>
      </c>
      <c r="AJ78" s="27" t="s">
        <v>177</v>
      </c>
      <c r="AK78" s="54">
        <v>6</v>
      </c>
      <c r="AL78" s="55">
        <v>24</v>
      </c>
    </row>
    <row r="79" spans="1:38" ht="35.1" customHeight="1" x14ac:dyDescent="0.2">
      <c r="A79" s="113" t="s">
        <v>326</v>
      </c>
      <c r="B79" s="67" t="s">
        <v>8</v>
      </c>
      <c r="C79" s="114">
        <v>10</v>
      </c>
      <c r="D79" s="9"/>
      <c r="E79" s="10" t="s">
        <v>135</v>
      </c>
      <c r="F79" s="10"/>
      <c r="G79" s="10"/>
      <c r="H79" s="10"/>
      <c r="I79" s="11"/>
      <c r="J79" s="9" t="s">
        <v>135</v>
      </c>
      <c r="K79" s="10" t="s">
        <v>135</v>
      </c>
      <c r="L79" s="10"/>
      <c r="M79" s="10" t="s">
        <v>135</v>
      </c>
      <c r="N79" s="10"/>
      <c r="O79" s="10" t="s">
        <v>135</v>
      </c>
      <c r="P79" s="11"/>
      <c r="Q79" s="12">
        <v>300</v>
      </c>
      <c r="R79" s="13">
        <v>0</v>
      </c>
      <c r="S79" s="13">
        <v>75</v>
      </c>
      <c r="T79" s="13">
        <v>0</v>
      </c>
      <c r="U79" s="14" t="s">
        <v>357</v>
      </c>
      <c r="V79" s="31" t="s">
        <v>80</v>
      </c>
      <c r="W79" s="3">
        <v>1</v>
      </c>
      <c r="X79" s="32">
        <v>1</v>
      </c>
      <c r="Y79" s="2" t="s">
        <v>80</v>
      </c>
      <c r="Z79" s="16">
        <v>4</v>
      </c>
      <c r="AA79" s="17">
        <v>80</v>
      </c>
      <c r="AB79" s="40" t="s">
        <v>358</v>
      </c>
      <c r="AC79" s="1" t="s">
        <v>359</v>
      </c>
      <c r="AD79" s="116" t="s">
        <v>359</v>
      </c>
      <c r="AE79" s="2" t="s">
        <v>83</v>
      </c>
      <c r="AF79" s="52">
        <v>40</v>
      </c>
      <c r="AG79" s="106">
        <v>40</v>
      </c>
      <c r="AH79" s="52">
        <v>4</v>
      </c>
      <c r="AI79" s="53" t="s">
        <v>137</v>
      </c>
      <c r="AJ79" s="27" t="s">
        <v>177</v>
      </c>
      <c r="AK79" s="54">
        <v>1</v>
      </c>
      <c r="AL79" s="55">
        <v>12</v>
      </c>
    </row>
    <row r="80" spans="1:38" ht="35.1" customHeight="1" x14ac:dyDescent="0.2">
      <c r="A80" s="113" t="s">
        <v>513</v>
      </c>
      <c r="B80" s="67" t="s">
        <v>6</v>
      </c>
      <c r="C80" s="114">
        <v>19</v>
      </c>
      <c r="D80" s="9" t="s">
        <v>135</v>
      </c>
      <c r="E80" s="10"/>
      <c r="F80" s="10"/>
      <c r="G80" s="10"/>
      <c r="H80" s="10"/>
      <c r="I80" s="11"/>
      <c r="J80" s="9"/>
      <c r="K80" s="10"/>
      <c r="L80" s="10" t="s">
        <v>135</v>
      </c>
      <c r="M80" s="10"/>
      <c r="N80" s="10"/>
      <c r="O80" s="10"/>
      <c r="P80" s="11" t="s">
        <v>135</v>
      </c>
      <c r="Q80" s="12">
        <v>500</v>
      </c>
      <c r="R80" s="13">
        <v>20</v>
      </c>
      <c r="S80" s="13">
        <v>0</v>
      </c>
      <c r="T80" s="13">
        <v>0</v>
      </c>
      <c r="U80" s="14" t="s">
        <v>300</v>
      </c>
      <c r="V80" s="31" t="s">
        <v>83</v>
      </c>
      <c r="W80" s="3">
        <v>4</v>
      </c>
      <c r="X80" s="32">
        <v>3</v>
      </c>
      <c r="Y80" s="2" t="s">
        <v>80</v>
      </c>
      <c r="Z80" s="16">
        <v>6</v>
      </c>
      <c r="AA80" s="17">
        <v>100</v>
      </c>
      <c r="AB80" s="40" t="s">
        <v>514</v>
      </c>
      <c r="AC80" s="1" t="s">
        <v>515</v>
      </c>
      <c r="AD80" s="116" t="s">
        <v>515</v>
      </c>
      <c r="AE80" s="39" t="s">
        <v>80</v>
      </c>
      <c r="AF80" s="52">
        <v>27</v>
      </c>
      <c r="AG80" s="106">
        <v>27</v>
      </c>
      <c r="AH80" s="52">
        <v>6</v>
      </c>
      <c r="AI80" s="53">
        <v>21</v>
      </c>
      <c r="AJ80" s="27" t="s">
        <v>177</v>
      </c>
      <c r="AK80" s="54">
        <v>6</v>
      </c>
      <c r="AL80" s="55">
        <v>18</v>
      </c>
    </row>
    <row r="81" spans="1:38" ht="35.1" customHeight="1" x14ac:dyDescent="0.2">
      <c r="A81" s="113" t="s">
        <v>429</v>
      </c>
      <c r="B81" s="67" t="s">
        <v>2</v>
      </c>
      <c r="C81" s="114">
        <v>15</v>
      </c>
      <c r="D81" s="9" t="s">
        <v>135</v>
      </c>
      <c r="E81" s="10"/>
      <c r="F81" s="10"/>
      <c r="G81" s="10"/>
      <c r="H81" s="10"/>
      <c r="I81" s="11"/>
      <c r="J81" s="9"/>
      <c r="K81" s="10"/>
      <c r="L81" s="10"/>
      <c r="M81" s="10"/>
      <c r="N81" s="10"/>
      <c r="O81" s="10"/>
      <c r="P81" s="11" t="s">
        <v>135</v>
      </c>
      <c r="Q81" s="12">
        <v>325</v>
      </c>
      <c r="R81" s="13">
        <v>0</v>
      </c>
      <c r="S81" s="13">
        <v>0</v>
      </c>
      <c r="T81" s="13">
        <v>0</v>
      </c>
      <c r="U81" s="14" t="s">
        <v>430</v>
      </c>
      <c r="V81" s="31" t="s">
        <v>80</v>
      </c>
      <c r="W81" s="3">
        <v>2</v>
      </c>
      <c r="X81" s="32">
        <v>1.25</v>
      </c>
      <c r="Y81" s="2" t="s">
        <v>80</v>
      </c>
      <c r="Z81" s="16">
        <v>2</v>
      </c>
      <c r="AA81" s="17">
        <v>25</v>
      </c>
      <c r="AB81" s="40" t="s">
        <v>431</v>
      </c>
      <c r="AC81" s="1" t="s">
        <v>271</v>
      </c>
      <c r="AD81" s="116" t="s">
        <v>271</v>
      </c>
      <c r="AE81" s="39" t="s">
        <v>80</v>
      </c>
      <c r="AF81" s="52">
        <v>22</v>
      </c>
      <c r="AG81" s="106">
        <v>22</v>
      </c>
      <c r="AH81" s="52">
        <v>3</v>
      </c>
      <c r="AI81" s="53" t="s">
        <v>137</v>
      </c>
      <c r="AJ81" s="27" t="s">
        <v>159</v>
      </c>
      <c r="AK81" s="54">
        <v>8</v>
      </c>
      <c r="AL81" s="55">
        <v>10</v>
      </c>
    </row>
    <row r="82" spans="1:38" ht="35.1" customHeight="1" x14ac:dyDescent="0.2">
      <c r="A82" s="113" t="s">
        <v>314</v>
      </c>
      <c r="B82" s="67" t="s">
        <v>6</v>
      </c>
      <c r="C82" s="114">
        <v>8</v>
      </c>
      <c r="D82" s="9"/>
      <c r="E82" s="10"/>
      <c r="F82" s="10"/>
      <c r="G82" s="10" t="s">
        <v>135</v>
      </c>
      <c r="H82" s="10"/>
      <c r="I82" s="11"/>
      <c r="J82" s="9" t="s">
        <v>135</v>
      </c>
      <c r="K82" s="10" t="s">
        <v>135</v>
      </c>
      <c r="L82" s="10"/>
      <c r="M82" s="10"/>
      <c r="N82" s="10"/>
      <c r="O82" s="10"/>
      <c r="P82" s="11"/>
      <c r="Q82" s="12">
        <v>210</v>
      </c>
      <c r="R82" s="13">
        <v>0</v>
      </c>
      <c r="S82" s="13">
        <v>210</v>
      </c>
      <c r="T82" s="13">
        <v>0</v>
      </c>
      <c r="U82" s="14" t="s">
        <v>339</v>
      </c>
      <c r="V82" s="31" t="s">
        <v>80</v>
      </c>
      <c r="W82" s="3">
        <v>2</v>
      </c>
      <c r="X82" s="32">
        <v>1</v>
      </c>
      <c r="Y82" s="2" t="s">
        <v>80</v>
      </c>
      <c r="Z82" s="33">
        <v>1</v>
      </c>
      <c r="AA82" s="34">
        <v>6</v>
      </c>
      <c r="AB82" s="40" t="s">
        <v>191</v>
      </c>
      <c r="AC82" s="1" t="s">
        <v>169</v>
      </c>
      <c r="AD82" s="116" t="s">
        <v>169</v>
      </c>
      <c r="AE82" s="41" t="s">
        <v>80</v>
      </c>
      <c r="AF82" s="52">
        <v>50</v>
      </c>
      <c r="AG82" s="106">
        <v>50</v>
      </c>
      <c r="AH82" s="52">
        <v>11</v>
      </c>
      <c r="AI82" s="53" t="s">
        <v>137</v>
      </c>
      <c r="AJ82" s="27" t="s">
        <v>174</v>
      </c>
      <c r="AK82" s="54">
        <v>3</v>
      </c>
      <c r="AL82" s="55">
        <v>24</v>
      </c>
    </row>
    <row r="83" spans="1:38" ht="35.1" customHeight="1" x14ac:dyDescent="0.2">
      <c r="A83" s="113" t="s">
        <v>40</v>
      </c>
      <c r="B83" s="67" t="s">
        <v>0</v>
      </c>
      <c r="C83" s="114">
        <v>0</v>
      </c>
      <c r="D83" s="9"/>
      <c r="E83" s="10"/>
      <c r="F83" s="10"/>
      <c r="G83" s="10"/>
      <c r="H83" s="10"/>
      <c r="I83" s="11" t="s">
        <v>135</v>
      </c>
      <c r="J83" s="9" t="s">
        <v>135</v>
      </c>
      <c r="K83" s="10" t="s">
        <v>135</v>
      </c>
      <c r="L83" s="10" t="s">
        <v>135</v>
      </c>
      <c r="M83" s="10"/>
      <c r="N83" s="10" t="s">
        <v>135</v>
      </c>
      <c r="O83" s="10"/>
      <c r="P83" s="11"/>
      <c r="Q83" s="12">
        <v>430</v>
      </c>
      <c r="R83" s="13">
        <v>0</v>
      </c>
      <c r="S83" s="13">
        <v>37</v>
      </c>
      <c r="T83" s="13">
        <v>0</v>
      </c>
      <c r="U83" s="14" t="s">
        <v>172</v>
      </c>
      <c r="V83" s="31" t="s">
        <v>80</v>
      </c>
      <c r="W83" s="3">
        <v>2</v>
      </c>
      <c r="X83" s="32">
        <v>1</v>
      </c>
      <c r="Y83" s="2" t="s">
        <v>80</v>
      </c>
      <c r="Z83" s="33">
        <v>1</v>
      </c>
      <c r="AA83" s="34">
        <v>2</v>
      </c>
      <c r="AB83" s="40" t="s">
        <v>196</v>
      </c>
      <c r="AC83" s="1" t="s">
        <v>177</v>
      </c>
      <c r="AD83" s="116" t="s">
        <v>177</v>
      </c>
      <c r="AE83" s="39" t="s">
        <v>80</v>
      </c>
      <c r="AF83" s="52">
        <v>24</v>
      </c>
      <c r="AG83" s="106">
        <v>24</v>
      </c>
      <c r="AH83" s="52">
        <v>2</v>
      </c>
      <c r="AI83" s="53" t="s">
        <v>137</v>
      </c>
      <c r="AJ83" s="27" t="s">
        <v>177</v>
      </c>
      <c r="AK83" s="54">
        <v>13</v>
      </c>
      <c r="AL83" s="55">
        <v>24</v>
      </c>
    </row>
    <row r="84" spans="1:38" ht="35.1" customHeight="1" x14ac:dyDescent="0.2">
      <c r="A84" s="113" t="s">
        <v>364</v>
      </c>
      <c r="B84" s="67" t="s">
        <v>6</v>
      </c>
      <c r="C84" s="114">
        <v>12</v>
      </c>
      <c r="D84" s="9"/>
      <c r="E84" s="10"/>
      <c r="F84" s="10"/>
      <c r="G84" s="10"/>
      <c r="H84" s="10" t="s">
        <v>135</v>
      </c>
      <c r="I84" s="11"/>
      <c r="J84" s="9"/>
      <c r="K84" s="10" t="s">
        <v>135</v>
      </c>
      <c r="L84" s="10" t="s">
        <v>135</v>
      </c>
      <c r="M84" s="10"/>
      <c r="N84" s="10"/>
      <c r="O84" s="10"/>
      <c r="P84" s="11"/>
      <c r="Q84" s="12">
        <v>225</v>
      </c>
      <c r="R84" s="13">
        <v>0</v>
      </c>
      <c r="S84" s="13">
        <v>0</v>
      </c>
      <c r="T84" s="13">
        <v>0</v>
      </c>
      <c r="U84" s="14" t="s">
        <v>333</v>
      </c>
      <c r="V84" s="31" t="s">
        <v>80</v>
      </c>
      <c r="W84" s="3">
        <v>2</v>
      </c>
      <c r="X84" s="32">
        <v>1</v>
      </c>
      <c r="Y84" s="2" t="s">
        <v>80</v>
      </c>
      <c r="Z84" s="33">
        <v>1</v>
      </c>
      <c r="AA84" s="34">
        <v>2</v>
      </c>
      <c r="AB84" s="40" t="s">
        <v>196</v>
      </c>
      <c r="AC84" s="1" t="s">
        <v>177</v>
      </c>
      <c r="AD84" s="116" t="s">
        <v>177</v>
      </c>
      <c r="AE84" s="39" t="s">
        <v>80</v>
      </c>
      <c r="AF84" s="52">
        <v>21</v>
      </c>
      <c r="AG84" s="106">
        <v>21</v>
      </c>
      <c r="AH84" s="52">
        <v>2</v>
      </c>
      <c r="AI84" s="53" t="s">
        <v>137</v>
      </c>
      <c r="AJ84" s="27" t="s">
        <v>177</v>
      </c>
      <c r="AK84" s="54">
        <v>4</v>
      </c>
      <c r="AL84" s="55">
        <v>24</v>
      </c>
    </row>
    <row r="85" spans="1:38" ht="35.1" customHeight="1" x14ac:dyDescent="0.2">
      <c r="A85" s="113" t="s">
        <v>39</v>
      </c>
      <c r="B85" s="67" t="s">
        <v>0</v>
      </c>
      <c r="C85" s="114">
        <v>6</v>
      </c>
      <c r="D85" s="9"/>
      <c r="E85" s="10" t="s">
        <v>135</v>
      </c>
      <c r="F85" s="10"/>
      <c r="G85" s="10"/>
      <c r="H85" s="10"/>
      <c r="I85" s="11"/>
      <c r="J85" s="9" t="s">
        <v>135</v>
      </c>
      <c r="K85" s="10"/>
      <c r="L85" s="10"/>
      <c r="M85" s="10"/>
      <c r="N85" s="10" t="s">
        <v>135</v>
      </c>
      <c r="O85" s="10"/>
      <c r="P85" s="11"/>
      <c r="Q85" s="12">
        <v>400</v>
      </c>
      <c r="R85" s="13">
        <v>30</v>
      </c>
      <c r="S85" s="13">
        <v>0</v>
      </c>
      <c r="T85" s="13">
        <v>0</v>
      </c>
      <c r="U85" s="14" t="s">
        <v>259</v>
      </c>
      <c r="V85" s="31" t="s">
        <v>83</v>
      </c>
      <c r="W85" s="3">
        <v>3</v>
      </c>
      <c r="X85" s="32">
        <v>4.5</v>
      </c>
      <c r="Y85" s="2" t="s">
        <v>80</v>
      </c>
      <c r="Z85" s="33">
        <v>3</v>
      </c>
      <c r="AA85" s="34">
        <v>19</v>
      </c>
      <c r="AB85" s="40" t="s">
        <v>260</v>
      </c>
      <c r="AC85" s="1" t="s">
        <v>261</v>
      </c>
      <c r="AD85" s="116" t="s">
        <v>261</v>
      </c>
      <c r="AE85" s="39" t="s">
        <v>80</v>
      </c>
      <c r="AF85" s="52">
        <v>21</v>
      </c>
      <c r="AG85" s="106">
        <v>21</v>
      </c>
      <c r="AH85" s="52">
        <v>5.5</v>
      </c>
      <c r="AI85" s="53">
        <v>20</v>
      </c>
      <c r="AJ85" s="27" t="s">
        <v>177</v>
      </c>
      <c r="AK85" s="54">
        <v>6</v>
      </c>
      <c r="AL85" s="55">
        <v>12</v>
      </c>
    </row>
    <row r="86" spans="1:38" ht="35.1" customHeight="1" x14ac:dyDescent="0.2">
      <c r="A86" s="113" t="s">
        <v>38</v>
      </c>
      <c r="B86" s="67" t="s">
        <v>8</v>
      </c>
      <c r="C86" s="114">
        <v>6</v>
      </c>
      <c r="D86" s="9"/>
      <c r="E86" s="10" t="s">
        <v>135</v>
      </c>
      <c r="F86" s="10"/>
      <c r="G86" s="10"/>
      <c r="H86" s="10"/>
      <c r="I86" s="11"/>
      <c r="J86" s="9"/>
      <c r="K86" s="10" t="s">
        <v>135</v>
      </c>
      <c r="L86" s="10"/>
      <c r="M86" s="10"/>
      <c r="N86" s="10" t="s">
        <v>135</v>
      </c>
      <c r="O86" s="10"/>
      <c r="P86" s="11"/>
      <c r="Q86" s="12">
        <v>534</v>
      </c>
      <c r="R86" s="13">
        <v>81</v>
      </c>
      <c r="S86" s="13">
        <v>0</v>
      </c>
      <c r="T86" s="13">
        <v>0</v>
      </c>
      <c r="U86" s="14" t="s">
        <v>195</v>
      </c>
      <c r="V86" s="31" t="s">
        <v>83</v>
      </c>
      <c r="W86" s="3">
        <v>2</v>
      </c>
      <c r="X86" s="32">
        <v>3</v>
      </c>
      <c r="Y86" s="2" t="s">
        <v>80</v>
      </c>
      <c r="Z86" s="33">
        <v>1</v>
      </c>
      <c r="AA86" s="34">
        <v>2</v>
      </c>
      <c r="AB86" s="40" t="s">
        <v>196</v>
      </c>
      <c r="AC86" s="1" t="s">
        <v>177</v>
      </c>
      <c r="AD86" s="116" t="s">
        <v>177</v>
      </c>
      <c r="AE86" s="39" t="s">
        <v>80</v>
      </c>
      <c r="AF86" s="52">
        <v>15</v>
      </c>
      <c r="AG86" s="106">
        <v>15</v>
      </c>
      <c r="AH86" s="52">
        <v>2.5</v>
      </c>
      <c r="AI86" s="53">
        <v>15</v>
      </c>
      <c r="AJ86" s="27" t="s">
        <v>157</v>
      </c>
      <c r="AK86" s="54">
        <v>3</v>
      </c>
      <c r="AL86" s="55">
        <v>24</v>
      </c>
    </row>
    <row r="87" spans="1:38" ht="35.1" customHeight="1" x14ac:dyDescent="0.2">
      <c r="A87" s="113" t="s">
        <v>37</v>
      </c>
      <c r="B87" s="67" t="s">
        <v>0</v>
      </c>
      <c r="C87" s="114">
        <v>0</v>
      </c>
      <c r="D87" s="9" t="s">
        <v>135</v>
      </c>
      <c r="E87" s="10"/>
      <c r="F87" s="10"/>
      <c r="G87" s="10"/>
      <c r="H87" s="10"/>
      <c r="I87" s="11"/>
      <c r="J87" s="9"/>
      <c r="K87" s="10"/>
      <c r="L87" s="10" t="s">
        <v>135</v>
      </c>
      <c r="M87" s="10"/>
      <c r="N87" s="10" t="s">
        <v>135</v>
      </c>
      <c r="O87" s="10"/>
      <c r="P87" s="11"/>
      <c r="Q87" s="12">
        <v>1306</v>
      </c>
      <c r="R87" s="13">
        <v>0</v>
      </c>
      <c r="S87" s="13">
        <v>0</v>
      </c>
      <c r="T87" s="13">
        <v>0</v>
      </c>
      <c r="U87" s="14" t="s">
        <v>156</v>
      </c>
      <c r="V87" s="31" t="s">
        <v>80</v>
      </c>
      <c r="W87" s="3">
        <v>3</v>
      </c>
      <c r="X87" s="32">
        <v>2</v>
      </c>
      <c r="Y87" s="2" t="s">
        <v>80</v>
      </c>
      <c r="Z87" s="33">
        <v>2</v>
      </c>
      <c r="AA87" s="34">
        <v>12</v>
      </c>
      <c r="AB87" s="40" t="s">
        <v>263</v>
      </c>
      <c r="AC87" s="1" t="s">
        <v>210</v>
      </c>
      <c r="AD87" s="116" t="s">
        <v>210</v>
      </c>
      <c r="AE87" s="39" t="s">
        <v>80</v>
      </c>
      <c r="AF87" s="52">
        <v>25</v>
      </c>
      <c r="AG87" s="106">
        <v>25</v>
      </c>
      <c r="AH87" s="52">
        <v>4</v>
      </c>
      <c r="AI87" s="53">
        <v>25</v>
      </c>
      <c r="AJ87" s="27" t="s">
        <v>177</v>
      </c>
      <c r="AK87" s="54">
        <v>15</v>
      </c>
      <c r="AL87" s="55">
        <v>36</v>
      </c>
    </row>
    <row r="88" spans="1:38" ht="35.1" customHeight="1" x14ac:dyDescent="0.2">
      <c r="A88" s="113" t="s">
        <v>393</v>
      </c>
      <c r="B88" s="67" t="s">
        <v>6</v>
      </c>
      <c r="C88" s="114">
        <v>13</v>
      </c>
      <c r="D88" s="9"/>
      <c r="E88" s="10"/>
      <c r="F88" s="10"/>
      <c r="G88" s="10" t="s">
        <v>135</v>
      </c>
      <c r="H88" s="10"/>
      <c r="I88" s="11" t="s">
        <v>135</v>
      </c>
      <c r="J88" s="9"/>
      <c r="K88" s="10" t="s">
        <v>135</v>
      </c>
      <c r="L88" s="10" t="s">
        <v>135</v>
      </c>
      <c r="M88" s="10"/>
      <c r="N88" s="10" t="s">
        <v>135</v>
      </c>
      <c r="O88" s="10"/>
      <c r="P88" s="11" t="s">
        <v>135</v>
      </c>
      <c r="Q88" s="12">
        <v>182</v>
      </c>
      <c r="R88" s="13">
        <v>0</v>
      </c>
      <c r="S88" s="13">
        <v>0</v>
      </c>
      <c r="T88" s="13">
        <v>0</v>
      </c>
      <c r="U88" s="14" t="s">
        <v>394</v>
      </c>
      <c r="V88" s="31" t="s">
        <v>80</v>
      </c>
      <c r="W88" s="3">
        <v>1</v>
      </c>
      <c r="X88" s="32">
        <v>1</v>
      </c>
      <c r="Y88" s="2" t="s">
        <v>80</v>
      </c>
      <c r="Z88" s="33">
        <v>1</v>
      </c>
      <c r="AA88" s="34">
        <v>2</v>
      </c>
      <c r="AB88" s="40" t="s">
        <v>196</v>
      </c>
      <c r="AC88" s="1" t="s">
        <v>177</v>
      </c>
      <c r="AD88" s="116" t="s">
        <v>177</v>
      </c>
      <c r="AE88" s="39" t="s">
        <v>83</v>
      </c>
      <c r="AF88" s="52">
        <v>15</v>
      </c>
      <c r="AG88" s="106">
        <v>15</v>
      </c>
      <c r="AH88" s="52">
        <v>2</v>
      </c>
      <c r="AI88" s="53" t="s">
        <v>137</v>
      </c>
      <c r="AJ88" s="27" t="s">
        <v>183</v>
      </c>
      <c r="AK88" s="54">
        <v>7</v>
      </c>
      <c r="AL88" s="55">
        <v>12</v>
      </c>
    </row>
    <row r="89" spans="1:38" ht="35.1" customHeight="1" x14ac:dyDescent="0.2">
      <c r="A89" s="113" t="s">
        <v>36</v>
      </c>
      <c r="B89" s="68" t="s">
        <v>6</v>
      </c>
      <c r="C89" s="114">
        <v>0</v>
      </c>
      <c r="D89" s="9" t="s">
        <v>135</v>
      </c>
      <c r="E89" s="10"/>
      <c r="F89" s="10"/>
      <c r="G89" s="10"/>
      <c r="H89" s="10"/>
      <c r="I89" s="11"/>
      <c r="J89" s="9" t="s">
        <v>135</v>
      </c>
      <c r="K89" s="10"/>
      <c r="L89" s="10" t="s">
        <v>135</v>
      </c>
      <c r="M89" s="10"/>
      <c r="N89" s="10" t="s">
        <v>135</v>
      </c>
      <c r="O89" s="10"/>
      <c r="P89" s="11"/>
      <c r="Q89" s="12">
        <v>300</v>
      </c>
      <c r="R89" s="13">
        <v>0</v>
      </c>
      <c r="S89" s="13">
        <v>75</v>
      </c>
      <c r="T89" s="13">
        <v>0</v>
      </c>
      <c r="U89" s="14" t="s">
        <v>198</v>
      </c>
      <c r="V89" s="31" t="s">
        <v>80</v>
      </c>
      <c r="W89" s="3">
        <v>2</v>
      </c>
      <c r="X89" s="32">
        <v>0.5</v>
      </c>
      <c r="Y89" s="2" t="s">
        <v>80</v>
      </c>
      <c r="Z89" s="33">
        <v>1</v>
      </c>
      <c r="AA89" s="34">
        <v>3</v>
      </c>
      <c r="AB89" s="40" t="s">
        <v>264</v>
      </c>
      <c r="AC89" s="1" t="s">
        <v>159</v>
      </c>
      <c r="AD89" s="116" t="s">
        <v>162</v>
      </c>
      <c r="AE89" s="39" t="s">
        <v>80</v>
      </c>
      <c r="AF89" s="52">
        <v>15</v>
      </c>
      <c r="AG89" s="106">
        <v>15</v>
      </c>
      <c r="AH89" s="52">
        <v>4</v>
      </c>
      <c r="AI89" s="53" t="s">
        <v>137</v>
      </c>
      <c r="AJ89" s="27" t="s">
        <v>265</v>
      </c>
      <c r="AK89" s="54">
        <v>10</v>
      </c>
      <c r="AL89" s="55">
        <v>24</v>
      </c>
    </row>
    <row r="90" spans="1:38" ht="35.1" customHeight="1" x14ac:dyDescent="0.2">
      <c r="A90" s="113" t="s">
        <v>432</v>
      </c>
      <c r="B90" s="67" t="s">
        <v>8</v>
      </c>
      <c r="C90" s="114">
        <v>16</v>
      </c>
      <c r="D90" s="9"/>
      <c r="E90" s="10"/>
      <c r="F90" s="10"/>
      <c r="G90" s="10"/>
      <c r="H90" s="10" t="s">
        <v>135</v>
      </c>
      <c r="I90" s="11"/>
      <c r="J90" s="9"/>
      <c r="K90" s="10" t="s">
        <v>135</v>
      </c>
      <c r="L90" s="10"/>
      <c r="M90" s="10"/>
      <c r="N90" s="10"/>
      <c r="O90" s="10"/>
      <c r="P90" s="11"/>
      <c r="Q90" s="12">
        <v>180</v>
      </c>
      <c r="R90" s="13">
        <v>0</v>
      </c>
      <c r="S90" s="13">
        <v>0</v>
      </c>
      <c r="T90" s="13">
        <v>0</v>
      </c>
      <c r="U90" s="14" t="s">
        <v>433</v>
      </c>
      <c r="V90" s="31" t="s">
        <v>80</v>
      </c>
      <c r="W90" s="3">
        <v>1</v>
      </c>
      <c r="X90" s="32">
        <v>1</v>
      </c>
      <c r="Y90" s="2" t="s">
        <v>80</v>
      </c>
      <c r="Z90" s="16">
        <v>1</v>
      </c>
      <c r="AA90" s="17">
        <v>2</v>
      </c>
      <c r="AB90" s="40" t="s">
        <v>196</v>
      </c>
      <c r="AC90" s="1" t="s">
        <v>159</v>
      </c>
      <c r="AD90" s="116" t="s">
        <v>177</v>
      </c>
      <c r="AE90" s="39" t="s">
        <v>83</v>
      </c>
      <c r="AF90" s="52">
        <v>30</v>
      </c>
      <c r="AG90" s="106">
        <v>30</v>
      </c>
      <c r="AH90" s="52">
        <v>2</v>
      </c>
      <c r="AI90" s="53" t="s">
        <v>252</v>
      </c>
      <c r="AJ90" s="27" t="s">
        <v>159</v>
      </c>
      <c r="AK90" s="54">
        <v>3</v>
      </c>
      <c r="AL90" s="55">
        <v>1</v>
      </c>
    </row>
    <row r="91" spans="1:38" ht="35.1" customHeight="1" x14ac:dyDescent="0.2">
      <c r="A91" s="113" t="s">
        <v>307</v>
      </c>
      <c r="B91" s="67" t="s">
        <v>8</v>
      </c>
      <c r="C91" s="114">
        <v>6</v>
      </c>
      <c r="D91" s="9"/>
      <c r="E91" s="10" t="s">
        <v>135</v>
      </c>
      <c r="F91" s="10"/>
      <c r="G91" s="10"/>
      <c r="H91" s="10"/>
      <c r="I91" s="11"/>
      <c r="J91" s="9"/>
      <c r="K91" s="10"/>
      <c r="L91" s="10" t="s">
        <v>135</v>
      </c>
      <c r="M91" s="10"/>
      <c r="N91" s="10" t="s">
        <v>135</v>
      </c>
      <c r="O91" s="10"/>
      <c r="P91" s="11"/>
      <c r="Q91" s="12">
        <v>290</v>
      </c>
      <c r="R91" s="13">
        <v>0</v>
      </c>
      <c r="S91" s="13">
        <v>0</v>
      </c>
      <c r="T91" s="13">
        <v>0</v>
      </c>
      <c r="U91" s="14" t="s">
        <v>161</v>
      </c>
      <c r="V91" s="31" t="s">
        <v>80</v>
      </c>
      <c r="W91" s="3">
        <v>2</v>
      </c>
      <c r="X91" s="32">
        <v>1.3</v>
      </c>
      <c r="Y91" s="2" t="s">
        <v>80</v>
      </c>
      <c r="Z91" s="16">
        <v>1</v>
      </c>
      <c r="AA91" s="17">
        <v>5</v>
      </c>
      <c r="AB91" s="40" t="s">
        <v>179</v>
      </c>
      <c r="AC91" s="1" t="s">
        <v>177</v>
      </c>
      <c r="AD91" s="116" t="s">
        <v>174</v>
      </c>
      <c r="AE91" s="39" t="s">
        <v>80</v>
      </c>
      <c r="AF91" s="52">
        <v>18</v>
      </c>
      <c r="AG91" s="106">
        <v>18</v>
      </c>
      <c r="AH91" s="52">
        <v>2</v>
      </c>
      <c r="AI91" s="53" t="s">
        <v>137</v>
      </c>
      <c r="AJ91" s="27" t="s">
        <v>159</v>
      </c>
      <c r="AK91" s="54">
        <v>5</v>
      </c>
      <c r="AL91" s="55">
        <v>12</v>
      </c>
    </row>
    <row r="92" spans="1:38" ht="35.1" customHeight="1" x14ac:dyDescent="0.2">
      <c r="A92" s="113" t="s">
        <v>34</v>
      </c>
      <c r="B92" s="67" t="s">
        <v>6</v>
      </c>
      <c r="C92" s="114">
        <v>0</v>
      </c>
      <c r="D92" s="9" t="s">
        <v>135</v>
      </c>
      <c r="E92" s="10"/>
      <c r="F92" s="10"/>
      <c r="G92" s="10"/>
      <c r="H92" s="10"/>
      <c r="I92" s="11"/>
      <c r="J92" s="9"/>
      <c r="K92" s="10"/>
      <c r="L92" s="10" t="s">
        <v>135</v>
      </c>
      <c r="M92" s="10"/>
      <c r="N92" s="10" t="s">
        <v>135</v>
      </c>
      <c r="O92" s="10"/>
      <c r="P92" s="11"/>
      <c r="Q92" s="12">
        <v>300</v>
      </c>
      <c r="R92" s="13">
        <v>0</v>
      </c>
      <c r="S92" s="13">
        <v>0</v>
      </c>
      <c r="T92" s="13">
        <v>0</v>
      </c>
      <c r="U92" s="14" t="s">
        <v>188</v>
      </c>
      <c r="V92" s="31" t="s">
        <v>80</v>
      </c>
      <c r="W92" s="3">
        <v>2</v>
      </c>
      <c r="X92" s="32">
        <v>1.25</v>
      </c>
      <c r="Y92" s="2" t="s">
        <v>80</v>
      </c>
      <c r="Z92" s="33">
        <v>1</v>
      </c>
      <c r="AA92" s="34">
        <v>5</v>
      </c>
      <c r="AB92" s="40" t="s">
        <v>179</v>
      </c>
      <c r="AC92" s="1" t="s">
        <v>177</v>
      </c>
      <c r="AD92" s="116" t="s">
        <v>157</v>
      </c>
      <c r="AE92" s="39" t="s">
        <v>80</v>
      </c>
      <c r="AF92" s="52">
        <v>16</v>
      </c>
      <c r="AG92" s="106">
        <v>16</v>
      </c>
      <c r="AH92" s="52">
        <v>1.5</v>
      </c>
      <c r="AI92" s="53" t="s">
        <v>137</v>
      </c>
      <c r="AJ92" s="27" t="s">
        <v>177</v>
      </c>
      <c r="AK92" s="54">
        <v>7</v>
      </c>
      <c r="AL92" s="55">
        <v>12</v>
      </c>
    </row>
    <row r="93" spans="1:38" ht="35.1" customHeight="1" x14ac:dyDescent="0.2">
      <c r="A93" s="113" t="s">
        <v>33</v>
      </c>
      <c r="B93" s="71" t="s">
        <v>0</v>
      </c>
      <c r="C93" s="114">
        <v>0</v>
      </c>
      <c r="D93" s="9" t="s">
        <v>135</v>
      </c>
      <c r="E93" s="10"/>
      <c r="F93" s="10"/>
      <c r="G93" s="10"/>
      <c r="H93" s="10"/>
      <c r="I93" s="11"/>
      <c r="J93" s="9"/>
      <c r="K93" s="10"/>
      <c r="L93" s="10"/>
      <c r="M93" s="10"/>
      <c r="N93" s="10" t="s">
        <v>135</v>
      </c>
      <c r="O93" s="10"/>
      <c r="P93" s="11"/>
      <c r="Q93" s="12">
        <v>1081</v>
      </c>
      <c r="R93" s="13">
        <v>0</v>
      </c>
      <c r="S93" s="13">
        <v>0</v>
      </c>
      <c r="T93" s="13">
        <v>0</v>
      </c>
      <c r="U93" s="14" t="s">
        <v>188</v>
      </c>
      <c r="V93" s="31" t="s">
        <v>80</v>
      </c>
      <c r="W93" s="3">
        <v>2</v>
      </c>
      <c r="X93" s="32">
        <v>1.25</v>
      </c>
      <c r="Y93" s="2" t="s">
        <v>80</v>
      </c>
      <c r="Z93" s="33">
        <v>1</v>
      </c>
      <c r="AA93" s="34">
        <v>2</v>
      </c>
      <c r="AB93" s="40" t="s">
        <v>196</v>
      </c>
      <c r="AC93" s="1" t="s">
        <v>177</v>
      </c>
      <c r="AD93" s="116" t="s">
        <v>159</v>
      </c>
      <c r="AE93" s="39" t="s">
        <v>83</v>
      </c>
      <c r="AF93" s="52">
        <v>26</v>
      </c>
      <c r="AG93" s="106">
        <v>26</v>
      </c>
      <c r="AH93" s="52">
        <v>2</v>
      </c>
      <c r="AI93" s="53" t="s">
        <v>137</v>
      </c>
      <c r="AJ93" s="27" t="s">
        <v>177</v>
      </c>
      <c r="AK93" s="54">
        <v>16</v>
      </c>
      <c r="AL93" s="55">
        <v>24</v>
      </c>
    </row>
    <row r="94" spans="1:38" ht="35.1" customHeight="1" x14ac:dyDescent="0.2">
      <c r="A94" s="113" t="s">
        <v>516</v>
      </c>
      <c r="B94" s="67" t="s">
        <v>6</v>
      </c>
      <c r="C94" s="114">
        <v>19</v>
      </c>
      <c r="D94" s="9"/>
      <c r="E94" s="10" t="s">
        <v>135</v>
      </c>
      <c r="F94" s="10"/>
      <c r="G94" s="10"/>
      <c r="H94" s="10"/>
      <c r="I94" s="11"/>
      <c r="J94" s="9"/>
      <c r="K94" s="10" t="s">
        <v>135</v>
      </c>
      <c r="L94" s="10"/>
      <c r="M94" s="10" t="s">
        <v>135</v>
      </c>
      <c r="N94" s="10"/>
      <c r="O94" s="10" t="s">
        <v>135</v>
      </c>
      <c r="P94" s="11"/>
      <c r="Q94" s="12">
        <v>200</v>
      </c>
      <c r="R94" s="13">
        <v>0</v>
      </c>
      <c r="S94" s="13">
        <v>0</v>
      </c>
      <c r="T94" s="13">
        <v>0</v>
      </c>
      <c r="U94" s="14" t="s">
        <v>517</v>
      </c>
      <c r="V94" s="31" t="s">
        <v>83</v>
      </c>
      <c r="W94" s="3">
        <v>2</v>
      </c>
      <c r="X94" s="32">
        <v>3</v>
      </c>
      <c r="Y94" s="2" t="s">
        <v>80</v>
      </c>
      <c r="Z94" s="16">
        <v>1</v>
      </c>
      <c r="AA94" s="17">
        <v>2</v>
      </c>
      <c r="AB94" s="40" t="s">
        <v>196</v>
      </c>
      <c r="AC94" s="1" t="s">
        <v>177</v>
      </c>
      <c r="AD94" s="116" t="s">
        <v>159</v>
      </c>
      <c r="AE94" s="39" t="s">
        <v>80</v>
      </c>
      <c r="AF94" s="52">
        <v>1</v>
      </c>
      <c r="AG94" s="106">
        <v>8</v>
      </c>
      <c r="AH94" s="52">
        <v>1</v>
      </c>
      <c r="AI94" s="53">
        <v>8</v>
      </c>
      <c r="AJ94" s="27" t="s">
        <v>164</v>
      </c>
      <c r="AK94" s="54">
        <v>2</v>
      </c>
      <c r="AL94" s="55">
        <v>9</v>
      </c>
    </row>
    <row r="95" spans="1:38" ht="35.1" customHeight="1" x14ac:dyDescent="0.2">
      <c r="A95" s="113" t="s">
        <v>32</v>
      </c>
      <c r="B95" s="67" t="s">
        <v>8</v>
      </c>
      <c r="C95" s="114">
        <v>0</v>
      </c>
      <c r="D95" s="9"/>
      <c r="E95" s="10" t="s">
        <v>135</v>
      </c>
      <c r="F95" s="10"/>
      <c r="G95" s="10"/>
      <c r="H95" s="10"/>
      <c r="I95" s="11"/>
      <c r="J95" s="9" t="s">
        <v>135</v>
      </c>
      <c r="K95" s="10" t="s">
        <v>135</v>
      </c>
      <c r="L95" s="10" t="s">
        <v>135</v>
      </c>
      <c r="M95" s="10"/>
      <c r="N95" s="10"/>
      <c r="O95" s="10"/>
      <c r="P95" s="11"/>
      <c r="Q95" s="12">
        <v>1000</v>
      </c>
      <c r="R95" s="13">
        <v>0</v>
      </c>
      <c r="S95" s="13">
        <v>37</v>
      </c>
      <c r="T95" s="13">
        <v>0</v>
      </c>
      <c r="U95" s="14" t="s">
        <v>266</v>
      </c>
      <c r="V95" s="31" t="s">
        <v>80</v>
      </c>
      <c r="W95" s="3">
        <v>4</v>
      </c>
      <c r="X95" s="32">
        <v>2</v>
      </c>
      <c r="Y95" s="2" t="s">
        <v>80</v>
      </c>
      <c r="Z95" s="33">
        <v>1</v>
      </c>
      <c r="AA95" s="34">
        <v>2</v>
      </c>
      <c r="AB95" s="40" t="s">
        <v>196</v>
      </c>
      <c r="AC95" s="1" t="s">
        <v>159</v>
      </c>
      <c r="AD95" s="116" t="s">
        <v>159</v>
      </c>
      <c r="AE95" s="39" t="s">
        <v>80</v>
      </c>
      <c r="AF95" s="52">
        <v>39</v>
      </c>
      <c r="AG95" s="106">
        <v>39</v>
      </c>
      <c r="AH95" s="52">
        <v>6</v>
      </c>
      <c r="AI95" s="53" t="s">
        <v>137</v>
      </c>
      <c r="AJ95" s="27" t="s">
        <v>177</v>
      </c>
      <c r="AK95" s="54">
        <v>16</v>
      </c>
      <c r="AL95" s="55">
        <v>60</v>
      </c>
    </row>
    <row r="96" spans="1:38" ht="35.1" customHeight="1" x14ac:dyDescent="0.2">
      <c r="A96" s="113" t="s">
        <v>434</v>
      </c>
      <c r="B96" s="67" t="s">
        <v>6</v>
      </c>
      <c r="C96" s="114">
        <v>14</v>
      </c>
      <c r="D96" s="9" t="s">
        <v>135</v>
      </c>
      <c r="E96" s="10"/>
      <c r="F96" s="10"/>
      <c r="G96" s="10"/>
      <c r="H96" s="10"/>
      <c r="I96" s="11"/>
      <c r="J96" s="9" t="s">
        <v>135</v>
      </c>
      <c r="K96" s="10"/>
      <c r="L96" s="10" t="s">
        <v>135</v>
      </c>
      <c r="M96" s="10"/>
      <c r="N96" s="10" t="s">
        <v>135</v>
      </c>
      <c r="O96" s="10"/>
      <c r="P96" s="11"/>
      <c r="Q96" s="12">
        <v>300</v>
      </c>
      <c r="R96" s="13">
        <v>0</v>
      </c>
      <c r="S96" s="13">
        <v>0</v>
      </c>
      <c r="T96" s="13">
        <v>0</v>
      </c>
      <c r="U96" s="14" t="s">
        <v>188</v>
      </c>
      <c r="V96" s="31" t="s">
        <v>80</v>
      </c>
      <c r="W96" s="3">
        <v>2</v>
      </c>
      <c r="X96" s="32">
        <v>1.25</v>
      </c>
      <c r="Y96" s="2" t="s">
        <v>80</v>
      </c>
      <c r="Z96" s="16">
        <v>2</v>
      </c>
      <c r="AA96" s="17">
        <v>10</v>
      </c>
      <c r="AB96" s="40" t="s">
        <v>256</v>
      </c>
      <c r="AC96" s="1" t="s">
        <v>184</v>
      </c>
      <c r="AD96" s="116" t="s">
        <v>265</v>
      </c>
      <c r="AE96" s="39" t="s">
        <v>80</v>
      </c>
      <c r="AF96" s="52">
        <v>17.5</v>
      </c>
      <c r="AG96" s="106">
        <v>17.5</v>
      </c>
      <c r="AH96" s="52">
        <v>3</v>
      </c>
      <c r="AI96" s="53" t="s">
        <v>137</v>
      </c>
      <c r="AJ96" s="27" t="s">
        <v>157</v>
      </c>
      <c r="AK96" s="54">
        <v>4</v>
      </c>
      <c r="AL96" s="55">
        <v>24</v>
      </c>
    </row>
    <row r="97" spans="1:38" ht="35.1" customHeight="1" x14ac:dyDescent="0.2">
      <c r="A97" s="113" t="s">
        <v>316</v>
      </c>
      <c r="B97" s="67" t="s">
        <v>6</v>
      </c>
      <c r="C97" s="114">
        <v>8</v>
      </c>
      <c r="D97" s="9"/>
      <c r="E97" s="10" t="s">
        <v>135</v>
      </c>
      <c r="F97" s="10" t="s">
        <v>135</v>
      </c>
      <c r="G97" s="10" t="s">
        <v>135</v>
      </c>
      <c r="H97" s="10"/>
      <c r="I97" s="11"/>
      <c r="J97" s="9"/>
      <c r="K97" s="10"/>
      <c r="L97" s="10"/>
      <c r="M97" s="10" t="s">
        <v>135</v>
      </c>
      <c r="N97" s="10"/>
      <c r="O97" s="10" t="s">
        <v>135</v>
      </c>
      <c r="P97" s="11"/>
      <c r="Q97" s="12">
        <v>200</v>
      </c>
      <c r="R97" s="13">
        <v>0</v>
      </c>
      <c r="S97" s="13">
        <v>0</v>
      </c>
      <c r="T97" s="13">
        <v>0</v>
      </c>
      <c r="U97" s="14" t="s">
        <v>340</v>
      </c>
      <c r="V97" s="31" t="s">
        <v>80</v>
      </c>
      <c r="W97" s="3">
        <v>2</v>
      </c>
      <c r="X97" s="32">
        <v>1.25</v>
      </c>
      <c r="Y97" s="2" t="s">
        <v>80</v>
      </c>
      <c r="Z97" s="33">
        <v>1</v>
      </c>
      <c r="AA97" s="34">
        <v>8</v>
      </c>
      <c r="AB97" s="40" t="s">
        <v>301</v>
      </c>
      <c r="AC97" s="1" t="s">
        <v>157</v>
      </c>
      <c r="AD97" s="116" t="s">
        <v>157</v>
      </c>
      <c r="AE97" s="39" t="s">
        <v>80</v>
      </c>
      <c r="AF97" s="52">
        <v>13</v>
      </c>
      <c r="AG97" s="106">
        <v>13</v>
      </c>
      <c r="AH97" s="52">
        <v>1</v>
      </c>
      <c r="AI97" s="53">
        <v>10</v>
      </c>
      <c r="AJ97" s="27" t="s">
        <v>225</v>
      </c>
      <c r="AK97" s="54">
        <v>1</v>
      </c>
      <c r="AL97" s="55">
        <v>12</v>
      </c>
    </row>
    <row r="98" spans="1:38" ht="35.1" customHeight="1" x14ac:dyDescent="0.2">
      <c r="A98" s="113" t="s">
        <v>31</v>
      </c>
      <c r="B98" s="67" t="s">
        <v>6</v>
      </c>
      <c r="C98" s="114">
        <v>2</v>
      </c>
      <c r="D98" s="9"/>
      <c r="E98" s="10"/>
      <c r="F98" s="10"/>
      <c r="G98" s="10" t="s">
        <v>135</v>
      </c>
      <c r="H98" s="10"/>
      <c r="I98" s="11"/>
      <c r="J98" s="9"/>
      <c r="K98" s="10"/>
      <c r="L98" s="10"/>
      <c r="M98" s="10" t="s">
        <v>135</v>
      </c>
      <c r="N98" s="10"/>
      <c r="O98" s="10" t="s">
        <v>135</v>
      </c>
      <c r="P98" s="11"/>
      <c r="Q98" s="12">
        <v>1162</v>
      </c>
      <c r="R98" s="13">
        <v>0</v>
      </c>
      <c r="S98" s="13">
        <v>0</v>
      </c>
      <c r="T98" s="13">
        <v>0</v>
      </c>
      <c r="U98" s="14" t="s">
        <v>200</v>
      </c>
      <c r="V98" s="31" t="s">
        <v>80</v>
      </c>
      <c r="W98" s="3">
        <v>2</v>
      </c>
      <c r="X98" s="32">
        <v>1.25</v>
      </c>
      <c r="Y98" s="2" t="s">
        <v>80</v>
      </c>
      <c r="Z98" s="33">
        <v>2</v>
      </c>
      <c r="AA98" s="34">
        <v>8</v>
      </c>
      <c r="AB98" s="40" t="s">
        <v>262</v>
      </c>
      <c r="AC98" s="1" t="s">
        <v>175</v>
      </c>
      <c r="AD98" s="116" t="s">
        <v>175</v>
      </c>
      <c r="AE98" s="39" t="s">
        <v>80</v>
      </c>
      <c r="AF98" s="52">
        <v>15</v>
      </c>
      <c r="AG98" s="106">
        <v>15</v>
      </c>
      <c r="AH98" s="52">
        <v>4</v>
      </c>
      <c r="AI98" s="53" t="s">
        <v>137</v>
      </c>
      <c r="AJ98" s="27" t="s">
        <v>162</v>
      </c>
      <c r="AK98" s="54">
        <v>2</v>
      </c>
      <c r="AL98" s="55">
        <v>12</v>
      </c>
    </row>
    <row r="99" spans="1:38" ht="35.1" customHeight="1" x14ac:dyDescent="0.2">
      <c r="A99" s="113" t="s">
        <v>365</v>
      </c>
      <c r="B99" s="67" t="s">
        <v>0</v>
      </c>
      <c r="C99" s="114">
        <v>11</v>
      </c>
      <c r="D99" s="9"/>
      <c r="E99" s="10" t="s">
        <v>135</v>
      </c>
      <c r="F99" s="10"/>
      <c r="G99" s="10"/>
      <c r="H99" s="10"/>
      <c r="I99" s="11"/>
      <c r="J99" s="9"/>
      <c r="K99" s="10"/>
      <c r="L99" s="10" t="s">
        <v>135</v>
      </c>
      <c r="M99" s="10"/>
      <c r="N99" s="10"/>
      <c r="O99" s="10"/>
      <c r="P99" s="11" t="s">
        <v>135</v>
      </c>
      <c r="Q99" s="12">
        <v>575</v>
      </c>
      <c r="R99" s="13">
        <v>0</v>
      </c>
      <c r="S99" s="13">
        <v>0</v>
      </c>
      <c r="T99" s="13">
        <v>0</v>
      </c>
      <c r="U99" s="14" t="s">
        <v>376</v>
      </c>
      <c r="V99" s="31" t="s">
        <v>80</v>
      </c>
      <c r="W99" s="3">
        <v>2</v>
      </c>
      <c r="X99" s="32">
        <v>1.25</v>
      </c>
      <c r="Y99" s="2" t="s">
        <v>80</v>
      </c>
      <c r="Z99" s="33">
        <v>3</v>
      </c>
      <c r="AA99" s="34">
        <v>8</v>
      </c>
      <c r="AB99" s="40" t="s">
        <v>158</v>
      </c>
      <c r="AC99" s="1" t="s">
        <v>346</v>
      </c>
      <c r="AD99" s="116" t="s">
        <v>346</v>
      </c>
      <c r="AE99" s="39" t="s">
        <v>80</v>
      </c>
      <c r="AF99" s="52">
        <v>25</v>
      </c>
      <c r="AG99" s="106">
        <v>25</v>
      </c>
      <c r="AH99" s="52">
        <v>2</v>
      </c>
      <c r="AI99" s="53" t="s">
        <v>137</v>
      </c>
      <c r="AJ99" s="27" t="s">
        <v>177</v>
      </c>
      <c r="AK99" s="54">
        <v>12</v>
      </c>
      <c r="AL99" s="55">
        <v>12</v>
      </c>
    </row>
    <row r="100" spans="1:38" ht="35.1" customHeight="1" x14ac:dyDescent="0.2">
      <c r="A100" s="113" t="s">
        <v>317</v>
      </c>
      <c r="B100" s="67" t="s">
        <v>6</v>
      </c>
      <c r="C100" s="114">
        <v>8</v>
      </c>
      <c r="D100" s="9"/>
      <c r="E100" s="10"/>
      <c r="F100" s="10"/>
      <c r="G100" s="10" t="s">
        <v>135</v>
      </c>
      <c r="H100" s="10"/>
      <c r="I100" s="11" t="s">
        <v>135</v>
      </c>
      <c r="J100" s="9"/>
      <c r="K100" s="10" t="s">
        <v>135</v>
      </c>
      <c r="L100" s="10" t="s">
        <v>135</v>
      </c>
      <c r="M100" s="10" t="s">
        <v>135</v>
      </c>
      <c r="N100" s="10" t="s">
        <v>135</v>
      </c>
      <c r="O100" s="10"/>
      <c r="P100" s="11" t="s">
        <v>135</v>
      </c>
      <c r="Q100" s="12">
        <v>705</v>
      </c>
      <c r="R100" s="13">
        <v>0</v>
      </c>
      <c r="S100" s="13">
        <v>0</v>
      </c>
      <c r="T100" s="13">
        <v>0</v>
      </c>
      <c r="U100" s="14" t="s">
        <v>341</v>
      </c>
      <c r="V100" s="31" t="s">
        <v>83</v>
      </c>
      <c r="W100" s="3">
        <v>3</v>
      </c>
      <c r="X100" s="32">
        <v>3</v>
      </c>
      <c r="Y100" s="2" t="s">
        <v>80</v>
      </c>
      <c r="Z100" s="33">
        <v>1</v>
      </c>
      <c r="AA100" s="34">
        <v>2</v>
      </c>
      <c r="AB100" s="40" t="s">
        <v>196</v>
      </c>
      <c r="AC100" s="1" t="s">
        <v>177</v>
      </c>
      <c r="AD100" s="116" t="s">
        <v>177</v>
      </c>
      <c r="AE100" s="39" t="s">
        <v>80</v>
      </c>
      <c r="AF100" s="52">
        <v>12</v>
      </c>
      <c r="AG100" s="106">
        <v>12</v>
      </c>
      <c r="AH100" s="52">
        <v>3</v>
      </c>
      <c r="AI100" s="53" t="s">
        <v>137</v>
      </c>
      <c r="AJ100" s="27" t="s">
        <v>174</v>
      </c>
      <c r="AK100" s="54">
        <v>3</v>
      </c>
      <c r="AL100" s="55">
        <v>24</v>
      </c>
    </row>
    <row r="101" spans="1:38" ht="35.1" customHeight="1" x14ac:dyDescent="0.2">
      <c r="A101" s="113" t="s">
        <v>435</v>
      </c>
      <c r="B101" s="67" t="s">
        <v>8</v>
      </c>
      <c r="C101" s="114">
        <v>16</v>
      </c>
      <c r="D101" s="9"/>
      <c r="E101" s="10"/>
      <c r="F101" s="10"/>
      <c r="G101" s="10"/>
      <c r="H101" s="10" t="s">
        <v>135</v>
      </c>
      <c r="I101" s="11"/>
      <c r="J101" s="9"/>
      <c r="K101" s="10"/>
      <c r="L101" s="10" t="s">
        <v>135</v>
      </c>
      <c r="M101" s="10"/>
      <c r="N101" s="10"/>
      <c r="O101" s="10"/>
      <c r="P101" s="11"/>
      <c r="Q101" s="12">
        <v>200</v>
      </c>
      <c r="R101" s="13">
        <v>0</v>
      </c>
      <c r="S101" s="13">
        <v>0</v>
      </c>
      <c r="T101" s="13">
        <v>0</v>
      </c>
      <c r="U101" s="14" t="s">
        <v>213</v>
      </c>
      <c r="V101" s="31" t="s">
        <v>80</v>
      </c>
      <c r="W101" s="3">
        <v>1</v>
      </c>
      <c r="X101" s="32">
        <v>1.25</v>
      </c>
      <c r="Y101" s="2" t="s">
        <v>385</v>
      </c>
      <c r="Z101" s="16">
        <v>1</v>
      </c>
      <c r="AA101" s="17">
        <v>24</v>
      </c>
      <c r="AB101" s="40" t="s">
        <v>436</v>
      </c>
      <c r="AC101" s="1" t="s">
        <v>437</v>
      </c>
      <c r="AD101" s="116" t="s">
        <v>437</v>
      </c>
      <c r="AE101" s="39" t="s">
        <v>526</v>
      </c>
      <c r="AF101" s="52">
        <v>10</v>
      </c>
      <c r="AG101" s="106">
        <v>10</v>
      </c>
      <c r="AH101" s="52">
        <v>1</v>
      </c>
      <c r="AI101" s="53" t="s">
        <v>137</v>
      </c>
      <c r="AJ101" s="27" t="s">
        <v>177</v>
      </c>
      <c r="AK101" s="54">
        <v>7</v>
      </c>
      <c r="AL101" s="55">
        <v>5</v>
      </c>
    </row>
    <row r="102" spans="1:38" ht="35.1" customHeight="1" x14ac:dyDescent="0.2">
      <c r="A102" s="113" t="s">
        <v>30</v>
      </c>
      <c r="B102" s="67" t="s">
        <v>6</v>
      </c>
      <c r="C102" s="114">
        <v>0</v>
      </c>
      <c r="D102" s="9" t="s">
        <v>135</v>
      </c>
      <c r="E102" s="10"/>
      <c r="F102" s="10"/>
      <c r="G102" s="10"/>
      <c r="H102" s="10"/>
      <c r="I102" s="11"/>
      <c r="J102" s="9"/>
      <c r="K102" s="10"/>
      <c r="L102" s="10" t="s">
        <v>135</v>
      </c>
      <c r="M102" s="10"/>
      <c r="N102" s="10"/>
      <c r="O102" s="10"/>
      <c r="P102" s="11"/>
      <c r="Q102" s="12">
        <v>450</v>
      </c>
      <c r="R102" s="13">
        <v>0</v>
      </c>
      <c r="S102" s="13">
        <v>0</v>
      </c>
      <c r="T102" s="13">
        <v>0</v>
      </c>
      <c r="U102" s="14" t="s">
        <v>156</v>
      </c>
      <c r="V102" s="31" t="s">
        <v>80</v>
      </c>
      <c r="W102" s="3">
        <v>2</v>
      </c>
      <c r="X102" s="32">
        <v>1.25</v>
      </c>
      <c r="Y102" s="2" t="s">
        <v>80</v>
      </c>
      <c r="Z102" s="33">
        <v>1</v>
      </c>
      <c r="AA102" s="34">
        <v>11</v>
      </c>
      <c r="AB102" s="40" t="s">
        <v>216</v>
      </c>
      <c r="AC102" s="1" t="s">
        <v>169</v>
      </c>
      <c r="AD102" s="116" t="s">
        <v>217</v>
      </c>
      <c r="AE102" s="39" t="s">
        <v>80</v>
      </c>
      <c r="AF102" s="52">
        <v>20</v>
      </c>
      <c r="AG102" s="106">
        <v>20</v>
      </c>
      <c r="AH102" s="52">
        <v>1.5</v>
      </c>
      <c r="AI102" s="53" t="s">
        <v>137</v>
      </c>
      <c r="AJ102" s="27" t="s">
        <v>177</v>
      </c>
      <c r="AK102" s="54">
        <v>9</v>
      </c>
      <c r="AL102" s="55">
        <v>12</v>
      </c>
    </row>
    <row r="103" spans="1:38" ht="35.1" customHeight="1" x14ac:dyDescent="0.2">
      <c r="A103" s="113" t="s">
        <v>29</v>
      </c>
      <c r="B103" s="67" t="s">
        <v>8</v>
      </c>
      <c r="C103" s="114">
        <v>2</v>
      </c>
      <c r="D103" s="9"/>
      <c r="E103" s="10" t="s">
        <v>135</v>
      </c>
      <c r="F103" s="10" t="s">
        <v>135</v>
      </c>
      <c r="G103" s="10" t="s">
        <v>135</v>
      </c>
      <c r="H103" s="10"/>
      <c r="I103" s="11"/>
      <c r="J103" s="9"/>
      <c r="K103" s="10"/>
      <c r="L103" s="10"/>
      <c r="M103" s="10" t="s">
        <v>135</v>
      </c>
      <c r="N103" s="10"/>
      <c r="O103" s="10" t="s">
        <v>135</v>
      </c>
      <c r="P103" s="11"/>
      <c r="Q103" s="12">
        <v>370</v>
      </c>
      <c r="R103" s="13">
        <v>0</v>
      </c>
      <c r="S103" s="13">
        <v>0</v>
      </c>
      <c r="T103" s="13">
        <v>0</v>
      </c>
      <c r="U103" s="14" t="s">
        <v>334</v>
      </c>
      <c r="V103" s="31" t="s">
        <v>80</v>
      </c>
      <c r="W103" s="3">
        <v>2</v>
      </c>
      <c r="X103" s="32">
        <v>1.5</v>
      </c>
      <c r="Y103" s="2" t="s">
        <v>80</v>
      </c>
      <c r="Z103" s="33">
        <v>3</v>
      </c>
      <c r="AA103" s="34">
        <v>12</v>
      </c>
      <c r="AB103" s="40" t="s">
        <v>267</v>
      </c>
      <c r="AC103" s="1" t="s">
        <v>261</v>
      </c>
      <c r="AD103" s="116" t="s">
        <v>261</v>
      </c>
      <c r="AE103" s="39" t="s">
        <v>80</v>
      </c>
      <c r="AF103" s="52">
        <v>17</v>
      </c>
      <c r="AG103" s="106">
        <v>17</v>
      </c>
      <c r="AH103" s="52">
        <v>5</v>
      </c>
      <c r="AI103" s="53" t="s">
        <v>137</v>
      </c>
      <c r="AJ103" s="27" t="s">
        <v>177</v>
      </c>
      <c r="AK103" s="54">
        <v>8</v>
      </c>
      <c r="AL103" s="55">
        <v>12</v>
      </c>
    </row>
    <row r="104" spans="1:38" ht="35.1" customHeight="1" x14ac:dyDescent="0.2">
      <c r="A104" s="113" t="s">
        <v>28</v>
      </c>
      <c r="B104" s="67" t="s">
        <v>0</v>
      </c>
      <c r="C104" s="114">
        <v>5</v>
      </c>
      <c r="D104" s="9"/>
      <c r="E104" s="10"/>
      <c r="F104" s="10"/>
      <c r="G104" s="10"/>
      <c r="H104" s="10"/>
      <c r="I104" s="11" t="s">
        <v>135</v>
      </c>
      <c r="J104" s="9" t="s">
        <v>135</v>
      </c>
      <c r="K104" s="10"/>
      <c r="L104" s="10" t="s">
        <v>135</v>
      </c>
      <c r="M104" s="10"/>
      <c r="N104" s="10" t="s">
        <v>135</v>
      </c>
      <c r="O104" s="10"/>
      <c r="P104" s="11"/>
      <c r="Q104" s="12">
        <v>360</v>
      </c>
      <c r="R104" s="13">
        <v>0</v>
      </c>
      <c r="S104" s="13">
        <v>144</v>
      </c>
      <c r="T104" s="13">
        <v>72</v>
      </c>
      <c r="U104" s="14" t="s">
        <v>245</v>
      </c>
      <c r="V104" s="31" t="s">
        <v>80</v>
      </c>
      <c r="W104" s="3">
        <v>2</v>
      </c>
      <c r="X104" s="32">
        <v>1.8</v>
      </c>
      <c r="Y104" s="2" t="s">
        <v>80</v>
      </c>
      <c r="Z104" s="33">
        <v>2</v>
      </c>
      <c r="AA104" s="34">
        <v>15</v>
      </c>
      <c r="AB104" s="40" t="s">
        <v>268</v>
      </c>
      <c r="AC104" s="1" t="s">
        <v>220</v>
      </c>
      <c r="AD104" s="116" t="s">
        <v>184</v>
      </c>
      <c r="AE104" s="39" t="s">
        <v>80</v>
      </c>
      <c r="AF104" s="52">
        <v>17</v>
      </c>
      <c r="AG104" s="106">
        <v>17</v>
      </c>
      <c r="AH104" s="52">
        <v>2.5</v>
      </c>
      <c r="AI104" s="53" t="s">
        <v>137</v>
      </c>
      <c r="AJ104" s="27" t="s">
        <v>157</v>
      </c>
      <c r="AK104" s="54">
        <v>2</v>
      </c>
      <c r="AL104" s="55">
        <v>12</v>
      </c>
    </row>
    <row r="105" spans="1:38" ht="35.1" customHeight="1" x14ac:dyDescent="0.2">
      <c r="A105" s="113" t="s">
        <v>27</v>
      </c>
      <c r="B105" s="67" t="s">
        <v>6</v>
      </c>
      <c r="C105" s="114">
        <v>0</v>
      </c>
      <c r="D105" s="9" t="s">
        <v>135</v>
      </c>
      <c r="E105" s="10" t="s">
        <v>135</v>
      </c>
      <c r="F105" s="10" t="s">
        <v>135</v>
      </c>
      <c r="G105" s="10"/>
      <c r="H105" s="10"/>
      <c r="I105" s="11"/>
      <c r="J105" s="9" t="s">
        <v>135</v>
      </c>
      <c r="K105" s="10" t="s">
        <v>135</v>
      </c>
      <c r="L105" s="10" t="s">
        <v>135</v>
      </c>
      <c r="M105" s="10"/>
      <c r="N105" s="10" t="s">
        <v>135</v>
      </c>
      <c r="O105" s="10"/>
      <c r="P105" s="11"/>
      <c r="Q105" s="12">
        <v>300</v>
      </c>
      <c r="R105" s="13">
        <v>0</v>
      </c>
      <c r="S105" s="13">
        <v>125</v>
      </c>
      <c r="T105" s="13">
        <v>0</v>
      </c>
      <c r="U105" s="14" t="s">
        <v>156</v>
      </c>
      <c r="V105" s="31" t="s">
        <v>80</v>
      </c>
      <c r="W105" s="3">
        <v>1</v>
      </c>
      <c r="X105" s="32">
        <v>1</v>
      </c>
      <c r="Y105" s="2" t="s">
        <v>80</v>
      </c>
      <c r="Z105" s="33">
        <v>10</v>
      </c>
      <c r="AA105" s="34">
        <v>500</v>
      </c>
      <c r="AB105" s="40" t="s">
        <v>250</v>
      </c>
      <c r="AC105" s="1" t="s">
        <v>269</v>
      </c>
      <c r="AD105" s="116" t="s">
        <v>269</v>
      </c>
      <c r="AE105" s="39" t="s">
        <v>83</v>
      </c>
      <c r="AF105" s="52">
        <v>59</v>
      </c>
      <c r="AG105" s="106">
        <v>59</v>
      </c>
      <c r="AH105" s="52">
        <v>3</v>
      </c>
      <c r="AI105" s="53" t="s">
        <v>137</v>
      </c>
      <c r="AJ105" s="27" t="s">
        <v>177</v>
      </c>
      <c r="AK105" s="54">
        <v>1</v>
      </c>
      <c r="AL105" s="55">
        <v>12</v>
      </c>
    </row>
    <row r="106" spans="1:38" ht="35.1" customHeight="1" x14ac:dyDescent="0.2">
      <c r="A106" s="113" t="s">
        <v>26</v>
      </c>
      <c r="B106" s="67" t="s">
        <v>2</v>
      </c>
      <c r="C106" s="114">
        <v>0</v>
      </c>
      <c r="D106" s="9" t="s">
        <v>135</v>
      </c>
      <c r="E106" s="10"/>
      <c r="F106" s="10"/>
      <c r="G106" s="10"/>
      <c r="H106" s="10"/>
      <c r="I106" s="11"/>
      <c r="J106" s="9"/>
      <c r="K106" s="10"/>
      <c r="L106" s="10"/>
      <c r="M106" s="10"/>
      <c r="N106" s="10" t="s">
        <v>135</v>
      </c>
      <c r="O106" s="10"/>
      <c r="P106" s="11"/>
      <c r="Q106" s="12">
        <v>210</v>
      </c>
      <c r="R106" s="13">
        <v>20</v>
      </c>
      <c r="S106" s="13">
        <v>0</v>
      </c>
      <c r="T106" s="13">
        <v>0</v>
      </c>
      <c r="U106" s="14" t="s">
        <v>245</v>
      </c>
      <c r="V106" s="31" t="s">
        <v>83</v>
      </c>
      <c r="W106" s="3">
        <v>1</v>
      </c>
      <c r="X106" s="32">
        <v>1.25</v>
      </c>
      <c r="Y106" s="2" t="s">
        <v>385</v>
      </c>
      <c r="Z106" s="33">
        <v>3</v>
      </c>
      <c r="AA106" s="34">
        <v>30</v>
      </c>
      <c r="AB106" s="40" t="s">
        <v>214</v>
      </c>
      <c r="AC106" s="1" t="s">
        <v>215</v>
      </c>
      <c r="AD106" s="116" t="s">
        <v>215</v>
      </c>
      <c r="AE106" s="39" t="s">
        <v>526</v>
      </c>
      <c r="AF106" s="52">
        <v>26</v>
      </c>
      <c r="AG106" s="106">
        <v>26</v>
      </c>
      <c r="AH106" s="52">
        <v>2.5</v>
      </c>
      <c r="AI106" s="53">
        <v>20</v>
      </c>
      <c r="AJ106" s="27" t="s">
        <v>174</v>
      </c>
      <c r="AK106" s="54">
        <v>3</v>
      </c>
      <c r="AL106" s="55">
        <v>12</v>
      </c>
    </row>
    <row r="107" spans="1:38" ht="35.1" customHeight="1" x14ac:dyDescent="0.2">
      <c r="A107" s="113" t="s">
        <v>25</v>
      </c>
      <c r="B107" s="67" t="s">
        <v>6</v>
      </c>
      <c r="C107" s="114">
        <v>4</v>
      </c>
      <c r="D107" s="9"/>
      <c r="E107" s="10"/>
      <c r="F107" s="10"/>
      <c r="G107" s="10"/>
      <c r="H107" s="10" t="s">
        <v>135</v>
      </c>
      <c r="I107" s="11"/>
      <c r="J107" s="9"/>
      <c r="K107" s="10"/>
      <c r="L107" s="10" t="s">
        <v>135</v>
      </c>
      <c r="M107" s="10"/>
      <c r="N107" s="10"/>
      <c r="O107" s="10"/>
      <c r="P107" s="11" t="s">
        <v>135</v>
      </c>
      <c r="Q107" s="12">
        <v>330</v>
      </c>
      <c r="R107" s="13">
        <v>0</v>
      </c>
      <c r="S107" s="13">
        <v>0</v>
      </c>
      <c r="T107" s="13">
        <v>0</v>
      </c>
      <c r="U107" s="14" t="s">
        <v>460</v>
      </c>
      <c r="V107" s="31" t="s">
        <v>80</v>
      </c>
      <c r="W107" s="3">
        <v>3</v>
      </c>
      <c r="X107" s="32">
        <v>3</v>
      </c>
      <c r="Y107" s="2" t="s">
        <v>80</v>
      </c>
      <c r="Z107" s="33">
        <v>2</v>
      </c>
      <c r="AA107" s="34">
        <v>10</v>
      </c>
      <c r="AB107" s="40" t="s">
        <v>256</v>
      </c>
      <c r="AC107" s="1" t="s">
        <v>194</v>
      </c>
      <c r="AD107" s="116" t="s">
        <v>265</v>
      </c>
      <c r="AE107" s="39" t="s">
        <v>83</v>
      </c>
      <c r="AF107" s="52">
        <v>23</v>
      </c>
      <c r="AG107" s="106">
        <v>23</v>
      </c>
      <c r="AH107" s="52">
        <v>2</v>
      </c>
      <c r="AI107" s="53">
        <v>15</v>
      </c>
      <c r="AJ107" s="27" t="s">
        <v>177</v>
      </c>
      <c r="AK107" s="54">
        <v>8</v>
      </c>
      <c r="AL107" s="55">
        <v>8</v>
      </c>
    </row>
    <row r="108" spans="1:38" ht="35.1" customHeight="1" x14ac:dyDescent="0.2">
      <c r="A108" s="113" t="s">
        <v>366</v>
      </c>
      <c r="B108" s="67" t="s">
        <v>6</v>
      </c>
      <c r="C108" s="114">
        <v>12</v>
      </c>
      <c r="D108" s="9" t="s">
        <v>135</v>
      </c>
      <c r="E108" s="10" t="s">
        <v>135</v>
      </c>
      <c r="F108" s="10" t="s">
        <v>135</v>
      </c>
      <c r="G108" s="10" t="s">
        <v>135</v>
      </c>
      <c r="H108" s="10"/>
      <c r="I108" s="11"/>
      <c r="J108" s="9"/>
      <c r="K108" s="10" t="s">
        <v>135</v>
      </c>
      <c r="L108" s="10" t="s">
        <v>135</v>
      </c>
      <c r="M108" s="10" t="s">
        <v>135</v>
      </c>
      <c r="N108" s="10"/>
      <c r="O108" s="10" t="s">
        <v>135</v>
      </c>
      <c r="P108" s="11" t="s">
        <v>135</v>
      </c>
      <c r="Q108" s="12">
        <v>250</v>
      </c>
      <c r="R108" s="13">
        <v>0</v>
      </c>
      <c r="S108" s="13">
        <v>0</v>
      </c>
      <c r="T108" s="13">
        <v>0</v>
      </c>
      <c r="U108" s="14" t="s">
        <v>377</v>
      </c>
      <c r="V108" s="31" t="s">
        <v>80</v>
      </c>
      <c r="W108" s="3">
        <v>2</v>
      </c>
      <c r="X108" s="32">
        <v>3</v>
      </c>
      <c r="Y108" s="2" t="s">
        <v>80</v>
      </c>
      <c r="Z108" s="33">
        <v>1</v>
      </c>
      <c r="AA108" s="34">
        <v>14</v>
      </c>
      <c r="AB108" s="40" t="s">
        <v>378</v>
      </c>
      <c r="AC108" s="1" t="s">
        <v>379</v>
      </c>
      <c r="AD108" s="116" t="s">
        <v>379</v>
      </c>
      <c r="AE108" s="39" t="s">
        <v>80</v>
      </c>
      <c r="AF108" s="52">
        <v>12</v>
      </c>
      <c r="AG108" s="106">
        <v>12</v>
      </c>
      <c r="AH108" s="102">
        <v>10</v>
      </c>
      <c r="AI108" s="53">
        <v>10</v>
      </c>
      <c r="AJ108" s="27" t="s">
        <v>225</v>
      </c>
      <c r="AK108" s="54">
        <v>2</v>
      </c>
      <c r="AL108" s="55">
        <v>12</v>
      </c>
    </row>
    <row r="109" spans="1:38" ht="35.1" customHeight="1" x14ac:dyDescent="0.2">
      <c r="A109" s="113" t="s">
        <v>386</v>
      </c>
      <c r="B109" s="67" t="s">
        <v>6</v>
      </c>
      <c r="C109" s="114">
        <v>0</v>
      </c>
      <c r="D109" s="9" t="s">
        <v>135</v>
      </c>
      <c r="E109" s="10" t="s">
        <v>135</v>
      </c>
      <c r="F109" s="10" t="s">
        <v>135</v>
      </c>
      <c r="G109" s="10"/>
      <c r="H109" s="10"/>
      <c r="I109" s="11"/>
      <c r="J109" s="9"/>
      <c r="K109" s="10" t="s">
        <v>135</v>
      </c>
      <c r="L109" s="10" t="s">
        <v>135</v>
      </c>
      <c r="M109" s="10" t="s">
        <v>135</v>
      </c>
      <c r="N109" s="10"/>
      <c r="O109" s="10"/>
      <c r="P109" s="11"/>
      <c r="Q109" s="12">
        <v>360</v>
      </c>
      <c r="R109" s="13">
        <v>0</v>
      </c>
      <c r="S109" s="13">
        <v>0</v>
      </c>
      <c r="T109" s="13">
        <v>0</v>
      </c>
      <c r="U109" s="14" t="s">
        <v>387</v>
      </c>
      <c r="V109" s="31" t="s">
        <v>80</v>
      </c>
      <c r="W109" s="3">
        <v>2</v>
      </c>
      <c r="X109" s="32">
        <v>1.5</v>
      </c>
      <c r="Y109" s="2" t="s">
        <v>80</v>
      </c>
      <c r="Z109" s="33">
        <v>3</v>
      </c>
      <c r="AA109" s="34">
        <v>9</v>
      </c>
      <c r="AB109" s="40" t="s">
        <v>388</v>
      </c>
      <c r="AC109" s="1" t="s">
        <v>190</v>
      </c>
      <c r="AD109" s="116" t="s">
        <v>138</v>
      </c>
      <c r="AE109" s="39" t="s">
        <v>80</v>
      </c>
      <c r="AF109" s="52">
        <v>27</v>
      </c>
      <c r="AG109" s="106">
        <v>27</v>
      </c>
      <c r="AH109" s="52">
        <v>4</v>
      </c>
      <c r="AI109" s="53" t="s">
        <v>137</v>
      </c>
      <c r="AJ109" s="27" t="s">
        <v>159</v>
      </c>
      <c r="AK109" s="54">
        <v>8</v>
      </c>
      <c r="AL109" s="55">
        <v>12</v>
      </c>
    </row>
    <row r="110" spans="1:38" ht="35.1" customHeight="1" x14ac:dyDescent="0.2">
      <c r="A110" s="113" t="s">
        <v>24</v>
      </c>
      <c r="B110" s="67" t="s">
        <v>0</v>
      </c>
      <c r="C110" s="114">
        <v>6</v>
      </c>
      <c r="D110" s="9"/>
      <c r="E110" s="10" t="s">
        <v>135</v>
      </c>
      <c r="F110" s="10"/>
      <c r="G110" s="10"/>
      <c r="H110" s="10"/>
      <c r="I110" s="11"/>
      <c r="J110" s="9"/>
      <c r="K110" s="10" t="s">
        <v>135</v>
      </c>
      <c r="L110" s="10" t="s">
        <v>135</v>
      </c>
      <c r="M110" s="10" t="s">
        <v>135</v>
      </c>
      <c r="N110" s="10" t="s">
        <v>135</v>
      </c>
      <c r="O110" s="10"/>
      <c r="P110" s="11"/>
      <c r="Q110" s="12">
        <v>1162</v>
      </c>
      <c r="R110" s="13">
        <v>0</v>
      </c>
      <c r="S110" s="13">
        <v>0</v>
      </c>
      <c r="T110" s="13">
        <v>0</v>
      </c>
      <c r="U110" s="14" t="s">
        <v>180</v>
      </c>
      <c r="V110" s="31" t="s">
        <v>80</v>
      </c>
      <c r="W110" s="3">
        <v>2</v>
      </c>
      <c r="X110" s="32">
        <v>1.25</v>
      </c>
      <c r="Y110" s="2" t="s">
        <v>80</v>
      </c>
      <c r="Z110" s="33">
        <v>2</v>
      </c>
      <c r="AA110" s="34">
        <v>25</v>
      </c>
      <c r="AB110" s="40" t="s">
        <v>270</v>
      </c>
      <c r="AC110" s="1" t="s">
        <v>271</v>
      </c>
      <c r="AD110" s="116" t="s">
        <v>271</v>
      </c>
      <c r="AE110" s="39" t="s">
        <v>80</v>
      </c>
      <c r="AF110" s="52">
        <v>13</v>
      </c>
      <c r="AG110" s="106">
        <v>13</v>
      </c>
      <c r="AH110" s="52">
        <v>2</v>
      </c>
      <c r="AI110" s="53">
        <v>10</v>
      </c>
      <c r="AJ110" s="27" t="s">
        <v>184</v>
      </c>
      <c r="AK110" s="54">
        <v>2</v>
      </c>
      <c r="AL110" s="55">
        <v>12</v>
      </c>
    </row>
    <row r="111" spans="1:38" ht="35.1" customHeight="1" x14ac:dyDescent="0.2">
      <c r="A111" s="113" t="s">
        <v>395</v>
      </c>
      <c r="B111" s="67" t="s">
        <v>6</v>
      </c>
      <c r="C111" s="114">
        <v>13</v>
      </c>
      <c r="D111" s="9"/>
      <c r="E111" s="10"/>
      <c r="F111" s="10"/>
      <c r="G111" s="10"/>
      <c r="H111" s="10" t="s">
        <v>135</v>
      </c>
      <c r="I111" s="11"/>
      <c r="J111" s="9"/>
      <c r="K111" s="10" t="s">
        <v>135</v>
      </c>
      <c r="L111" s="10" t="s">
        <v>135</v>
      </c>
      <c r="M111" s="10"/>
      <c r="N111" s="10"/>
      <c r="O111" s="10"/>
      <c r="P111" s="11"/>
      <c r="Q111" s="12">
        <v>250</v>
      </c>
      <c r="R111" s="13">
        <v>0</v>
      </c>
      <c r="S111" s="13">
        <v>0</v>
      </c>
      <c r="T111" s="13">
        <v>0</v>
      </c>
      <c r="U111" s="14" t="s">
        <v>396</v>
      </c>
      <c r="V111" s="31" t="s">
        <v>80</v>
      </c>
      <c r="W111" s="3">
        <v>2</v>
      </c>
      <c r="X111" s="32">
        <v>3</v>
      </c>
      <c r="Y111" s="2" t="s">
        <v>80</v>
      </c>
      <c r="Z111" s="33">
        <v>1</v>
      </c>
      <c r="AA111" s="34">
        <v>30</v>
      </c>
      <c r="AB111" s="40" t="s">
        <v>397</v>
      </c>
      <c r="AC111" s="1" t="s">
        <v>398</v>
      </c>
      <c r="AD111" s="116" t="s">
        <v>398</v>
      </c>
      <c r="AE111" s="39" t="s">
        <v>526</v>
      </c>
      <c r="AF111" s="52">
        <v>17</v>
      </c>
      <c r="AG111" s="106">
        <v>17</v>
      </c>
      <c r="AH111" s="52">
        <v>1.5</v>
      </c>
      <c r="AI111" s="53" t="s">
        <v>137</v>
      </c>
      <c r="AJ111" s="27" t="s">
        <v>177</v>
      </c>
      <c r="AK111" s="54">
        <v>8</v>
      </c>
      <c r="AL111" s="55">
        <v>12</v>
      </c>
    </row>
    <row r="112" spans="1:38" ht="35.1" customHeight="1" x14ac:dyDescent="0.2">
      <c r="A112" s="113" t="s">
        <v>369</v>
      </c>
      <c r="B112" s="67" t="s">
        <v>147</v>
      </c>
      <c r="C112" s="114">
        <v>11</v>
      </c>
      <c r="D112" s="9" t="s">
        <v>135</v>
      </c>
      <c r="E112" s="10"/>
      <c r="F112" s="10"/>
      <c r="G112" s="10"/>
      <c r="H112" s="10"/>
      <c r="I112" s="11"/>
      <c r="J112" s="9"/>
      <c r="K112" s="10"/>
      <c r="L112" s="10" t="s">
        <v>135</v>
      </c>
      <c r="M112" s="10"/>
      <c r="N112" s="10"/>
      <c r="O112" s="10"/>
      <c r="P112" s="11" t="s">
        <v>135</v>
      </c>
      <c r="Q112" s="12">
        <v>270</v>
      </c>
      <c r="R112" s="13">
        <v>0</v>
      </c>
      <c r="S112" s="13">
        <v>0</v>
      </c>
      <c r="T112" s="13">
        <v>0</v>
      </c>
      <c r="U112" s="14" t="s">
        <v>381</v>
      </c>
      <c r="V112" s="31" t="s">
        <v>80</v>
      </c>
      <c r="W112" s="3">
        <v>2</v>
      </c>
      <c r="X112" s="32">
        <v>1.25</v>
      </c>
      <c r="Y112" s="2" t="s">
        <v>80</v>
      </c>
      <c r="Z112" s="33">
        <v>3</v>
      </c>
      <c r="AA112" s="34">
        <v>40</v>
      </c>
      <c r="AB112" s="40" t="s">
        <v>201</v>
      </c>
      <c r="AC112" s="1" t="s">
        <v>202</v>
      </c>
      <c r="AD112" s="116" t="s">
        <v>202</v>
      </c>
      <c r="AE112" s="39" t="s">
        <v>80</v>
      </c>
      <c r="AF112" s="52">
        <v>17.5</v>
      </c>
      <c r="AG112" s="106">
        <v>18</v>
      </c>
      <c r="AH112" s="52">
        <v>2</v>
      </c>
      <c r="AI112" s="53" t="s">
        <v>137</v>
      </c>
      <c r="AJ112" s="27" t="s">
        <v>177</v>
      </c>
      <c r="AK112" s="54">
        <v>8</v>
      </c>
      <c r="AL112" s="55">
        <v>10</v>
      </c>
    </row>
    <row r="113" spans="1:38" ht="35.1" customHeight="1" x14ac:dyDescent="0.2">
      <c r="A113" s="113" t="s">
        <v>483</v>
      </c>
      <c r="B113" s="67" t="s">
        <v>17</v>
      </c>
      <c r="C113" s="114">
        <v>17</v>
      </c>
      <c r="D113" s="9"/>
      <c r="E113" s="10" t="s">
        <v>135</v>
      </c>
      <c r="F113" s="10"/>
      <c r="G113" s="10"/>
      <c r="H113" s="10"/>
      <c r="I113" s="11"/>
      <c r="J113" s="9"/>
      <c r="K113" s="10"/>
      <c r="L113" s="10" t="s">
        <v>135</v>
      </c>
      <c r="M113" s="10"/>
      <c r="N113" s="10"/>
      <c r="O113" s="10"/>
      <c r="P113" s="11" t="s">
        <v>135</v>
      </c>
      <c r="Q113" s="12">
        <v>425</v>
      </c>
      <c r="R113" s="13">
        <v>0</v>
      </c>
      <c r="S113" s="13">
        <v>0</v>
      </c>
      <c r="T113" s="13">
        <v>0</v>
      </c>
      <c r="U113" s="14" t="s">
        <v>494</v>
      </c>
      <c r="V113" s="31" t="s">
        <v>80</v>
      </c>
      <c r="W113" s="3">
        <v>2</v>
      </c>
      <c r="X113" s="32">
        <v>1.25</v>
      </c>
      <c r="Y113" s="2" t="s">
        <v>80</v>
      </c>
      <c r="Z113" s="16">
        <v>4</v>
      </c>
      <c r="AA113" s="17">
        <v>11</v>
      </c>
      <c r="AB113" s="40" t="s">
        <v>216</v>
      </c>
      <c r="AC113" s="1" t="s">
        <v>495</v>
      </c>
      <c r="AD113" s="116" t="s">
        <v>495</v>
      </c>
      <c r="AE113" s="39" t="s">
        <v>83</v>
      </c>
      <c r="AF113" s="52">
        <v>11</v>
      </c>
      <c r="AG113" s="106">
        <v>11</v>
      </c>
      <c r="AH113" s="52">
        <v>2</v>
      </c>
      <c r="AI113" s="53" t="s">
        <v>137</v>
      </c>
      <c r="AJ113" s="27" t="s">
        <v>159</v>
      </c>
      <c r="AK113" s="54">
        <v>5</v>
      </c>
      <c r="AL113" s="55">
        <v>12</v>
      </c>
    </row>
    <row r="114" spans="1:38" ht="35.1" customHeight="1" x14ac:dyDescent="0.2">
      <c r="A114" s="113" t="s">
        <v>438</v>
      </c>
      <c r="B114" s="67" t="s">
        <v>6</v>
      </c>
      <c r="C114" s="114">
        <v>15</v>
      </c>
      <c r="D114" s="9" t="s">
        <v>135</v>
      </c>
      <c r="E114" s="10" t="s">
        <v>135</v>
      </c>
      <c r="F114" s="10"/>
      <c r="G114" s="10"/>
      <c r="H114" s="10"/>
      <c r="I114" s="11"/>
      <c r="J114" s="9"/>
      <c r="K114" s="10"/>
      <c r="L114" s="10"/>
      <c r="M114" s="10"/>
      <c r="N114" s="10"/>
      <c r="O114" s="10"/>
      <c r="P114" s="11" t="s">
        <v>135</v>
      </c>
      <c r="Q114" s="12">
        <v>200</v>
      </c>
      <c r="R114" s="13">
        <v>0</v>
      </c>
      <c r="S114" s="13">
        <v>0</v>
      </c>
      <c r="T114" s="13">
        <v>0</v>
      </c>
      <c r="U114" s="14" t="s">
        <v>300</v>
      </c>
      <c r="V114" s="31" t="s">
        <v>83</v>
      </c>
      <c r="W114" s="3">
        <v>2</v>
      </c>
      <c r="X114" s="32">
        <v>3</v>
      </c>
      <c r="Y114" s="2" t="s">
        <v>80</v>
      </c>
      <c r="Z114" s="16">
        <v>1</v>
      </c>
      <c r="AA114" s="17">
        <v>2</v>
      </c>
      <c r="AB114" s="40" t="s">
        <v>196</v>
      </c>
      <c r="AC114" s="1" t="s">
        <v>177</v>
      </c>
      <c r="AD114" s="116" t="s">
        <v>162</v>
      </c>
      <c r="AE114" s="39" t="s">
        <v>80</v>
      </c>
      <c r="AF114" s="52">
        <v>16</v>
      </c>
      <c r="AG114" s="106">
        <v>16</v>
      </c>
      <c r="AH114" s="52">
        <v>1</v>
      </c>
      <c r="AI114" s="53">
        <v>10</v>
      </c>
      <c r="AJ114" s="27" t="s">
        <v>194</v>
      </c>
      <c r="AK114" s="54">
        <v>2</v>
      </c>
      <c r="AL114" s="55">
        <v>12</v>
      </c>
    </row>
    <row r="115" spans="1:38" ht="35.1" customHeight="1" x14ac:dyDescent="0.2">
      <c r="A115" s="113" t="s">
        <v>321</v>
      </c>
      <c r="B115" s="67" t="s">
        <v>17</v>
      </c>
      <c r="C115" s="114">
        <v>10</v>
      </c>
      <c r="D115" s="9"/>
      <c r="E115" s="10"/>
      <c r="F115" s="10"/>
      <c r="G115" s="10"/>
      <c r="H115" s="10" t="s">
        <v>135</v>
      </c>
      <c r="I115" s="11"/>
      <c r="J115" s="9" t="s">
        <v>135</v>
      </c>
      <c r="K115" s="10" t="s">
        <v>135</v>
      </c>
      <c r="L115" s="10" t="s">
        <v>135</v>
      </c>
      <c r="M115" s="10"/>
      <c r="N115" s="10" t="s">
        <v>135</v>
      </c>
      <c r="O115" s="10"/>
      <c r="P115" s="11"/>
      <c r="Q115" s="12">
        <v>180</v>
      </c>
      <c r="R115" s="13">
        <v>0</v>
      </c>
      <c r="S115" s="13">
        <v>90</v>
      </c>
      <c r="T115" s="13">
        <v>45</v>
      </c>
      <c r="U115" s="14" t="s">
        <v>360</v>
      </c>
      <c r="V115" s="31" t="s">
        <v>80</v>
      </c>
      <c r="W115" s="3">
        <v>1</v>
      </c>
      <c r="X115" s="32">
        <v>1</v>
      </c>
      <c r="Y115" s="2" t="s">
        <v>80</v>
      </c>
      <c r="Z115" s="16">
        <v>1</v>
      </c>
      <c r="AA115" s="17">
        <v>3</v>
      </c>
      <c r="AB115" s="40" t="s">
        <v>264</v>
      </c>
      <c r="AC115" s="1" t="s">
        <v>177</v>
      </c>
      <c r="AD115" s="116" t="s">
        <v>159</v>
      </c>
      <c r="AE115" s="2" t="s">
        <v>83</v>
      </c>
      <c r="AF115" s="52">
        <v>13</v>
      </c>
      <c r="AG115" s="106">
        <v>15</v>
      </c>
      <c r="AH115" s="52">
        <v>2</v>
      </c>
      <c r="AI115" s="53">
        <v>13</v>
      </c>
      <c r="AJ115" s="27" t="s">
        <v>162</v>
      </c>
      <c r="AK115" s="54">
        <v>1</v>
      </c>
      <c r="AL115" s="55">
        <v>12</v>
      </c>
    </row>
    <row r="116" spans="1:38" ht="35.1" customHeight="1" x14ac:dyDescent="0.2">
      <c r="A116" s="113" t="s">
        <v>23</v>
      </c>
      <c r="B116" s="67" t="s">
        <v>8</v>
      </c>
      <c r="C116" s="114">
        <v>0</v>
      </c>
      <c r="D116" s="9"/>
      <c r="E116" s="10" t="s">
        <v>135</v>
      </c>
      <c r="F116" s="10"/>
      <c r="G116" s="10"/>
      <c r="H116" s="10"/>
      <c r="I116" s="11"/>
      <c r="J116" s="9"/>
      <c r="K116" s="10"/>
      <c r="L116" s="10"/>
      <c r="M116" s="10" t="s">
        <v>135</v>
      </c>
      <c r="N116" s="10"/>
      <c r="O116" s="10"/>
      <c r="P116" s="11"/>
      <c r="Q116" s="12">
        <v>705</v>
      </c>
      <c r="R116" s="13">
        <v>0</v>
      </c>
      <c r="S116" s="13">
        <v>0</v>
      </c>
      <c r="T116" s="13">
        <v>0</v>
      </c>
      <c r="U116" s="14" t="s">
        <v>475</v>
      </c>
      <c r="V116" s="31" t="s">
        <v>83</v>
      </c>
      <c r="W116" s="3">
        <v>2</v>
      </c>
      <c r="X116" s="32">
        <v>3</v>
      </c>
      <c r="Y116" s="2" t="s">
        <v>80</v>
      </c>
      <c r="Z116" s="33">
        <v>1</v>
      </c>
      <c r="AA116" s="34">
        <v>2</v>
      </c>
      <c r="AB116" s="40" t="s">
        <v>196</v>
      </c>
      <c r="AC116" s="1" t="s">
        <v>177</v>
      </c>
      <c r="AD116" s="116" t="s">
        <v>177</v>
      </c>
      <c r="AE116" s="39" t="s">
        <v>80</v>
      </c>
      <c r="AF116" s="52">
        <v>20</v>
      </c>
      <c r="AG116" s="106">
        <v>20</v>
      </c>
      <c r="AH116" s="52">
        <v>3</v>
      </c>
      <c r="AI116" s="58" t="s">
        <v>303</v>
      </c>
      <c r="AJ116" s="27" t="s">
        <v>162</v>
      </c>
      <c r="AK116" s="54">
        <v>3</v>
      </c>
      <c r="AL116" s="55">
        <v>24</v>
      </c>
    </row>
    <row r="117" spans="1:38" ht="35.1" customHeight="1" x14ac:dyDescent="0.2">
      <c r="A117" s="113" t="s">
        <v>524</v>
      </c>
      <c r="B117" s="67" t="s">
        <v>17</v>
      </c>
      <c r="C117" s="114">
        <v>19</v>
      </c>
      <c r="D117" s="9"/>
      <c r="E117" s="10" t="s">
        <v>135</v>
      </c>
      <c r="F117" s="10"/>
      <c r="G117" s="10"/>
      <c r="H117" s="10"/>
      <c r="I117" s="11"/>
      <c r="J117" s="9"/>
      <c r="K117" s="10"/>
      <c r="L117" s="10"/>
      <c r="M117" s="10" t="s">
        <v>135</v>
      </c>
      <c r="N117" s="10"/>
      <c r="O117" s="10" t="s">
        <v>135</v>
      </c>
      <c r="P117" s="11"/>
      <c r="Q117" s="12">
        <v>390</v>
      </c>
      <c r="R117" s="13">
        <v>0</v>
      </c>
      <c r="S117" s="13">
        <v>0</v>
      </c>
      <c r="T117" s="13">
        <v>0</v>
      </c>
      <c r="U117" s="14" t="s">
        <v>525</v>
      </c>
      <c r="V117" s="31" t="s">
        <v>80</v>
      </c>
      <c r="W117" s="3">
        <v>3</v>
      </c>
      <c r="X117" s="32">
        <v>1.25</v>
      </c>
      <c r="Y117" s="2" t="s">
        <v>80</v>
      </c>
      <c r="Z117" s="16">
        <v>2</v>
      </c>
      <c r="AA117" s="17">
        <v>12</v>
      </c>
      <c r="AB117" s="40" t="s">
        <v>267</v>
      </c>
      <c r="AC117" s="1" t="s">
        <v>210</v>
      </c>
      <c r="AD117" s="116" t="s">
        <v>210</v>
      </c>
      <c r="AE117" s="39" t="s">
        <v>80</v>
      </c>
      <c r="AF117" s="52">
        <v>14</v>
      </c>
      <c r="AG117" s="106">
        <v>14</v>
      </c>
      <c r="AH117" s="52">
        <v>3</v>
      </c>
      <c r="AI117" s="53">
        <v>12</v>
      </c>
      <c r="AJ117" s="27" t="s">
        <v>159</v>
      </c>
      <c r="AK117" s="54">
        <v>5</v>
      </c>
      <c r="AL117" s="55">
        <v>7</v>
      </c>
    </row>
    <row r="118" spans="1:38" ht="35.1" customHeight="1" x14ac:dyDescent="0.2">
      <c r="A118" s="113" t="s">
        <v>318</v>
      </c>
      <c r="B118" s="67" t="s">
        <v>6</v>
      </c>
      <c r="C118" s="114">
        <v>8</v>
      </c>
      <c r="D118" s="9"/>
      <c r="E118" s="10"/>
      <c r="F118" s="10"/>
      <c r="G118" s="10" t="s">
        <v>135</v>
      </c>
      <c r="H118" s="10"/>
      <c r="I118" s="11"/>
      <c r="J118" s="9"/>
      <c r="K118" s="10"/>
      <c r="L118" s="10" t="s">
        <v>135</v>
      </c>
      <c r="M118" s="10"/>
      <c r="N118" s="10"/>
      <c r="O118" s="10"/>
      <c r="P118" s="11" t="s">
        <v>135</v>
      </c>
      <c r="Q118" s="12">
        <v>180</v>
      </c>
      <c r="R118" s="13">
        <v>0</v>
      </c>
      <c r="S118" s="13">
        <v>0</v>
      </c>
      <c r="T118" s="13">
        <v>0</v>
      </c>
      <c r="U118" s="14" t="s">
        <v>300</v>
      </c>
      <c r="V118" s="31" t="s">
        <v>80</v>
      </c>
      <c r="W118" s="3">
        <v>2</v>
      </c>
      <c r="X118" s="32">
        <v>1.2</v>
      </c>
      <c r="Y118" s="2" t="s">
        <v>80</v>
      </c>
      <c r="Z118" s="33">
        <v>2</v>
      </c>
      <c r="AA118" s="34">
        <v>12</v>
      </c>
      <c r="AB118" s="40" t="s">
        <v>267</v>
      </c>
      <c r="AC118" s="1" t="s">
        <v>187</v>
      </c>
      <c r="AD118" s="116" t="s">
        <v>210</v>
      </c>
      <c r="AE118" s="39" t="s">
        <v>83</v>
      </c>
      <c r="AF118" s="52">
        <v>7</v>
      </c>
      <c r="AG118" s="106">
        <v>7</v>
      </c>
      <c r="AH118" s="52">
        <v>2</v>
      </c>
      <c r="AI118" s="53" t="s">
        <v>137</v>
      </c>
      <c r="AJ118" s="27" t="s">
        <v>194</v>
      </c>
      <c r="AK118" s="54">
        <v>2</v>
      </c>
      <c r="AL118" s="55">
        <v>12</v>
      </c>
    </row>
    <row r="119" spans="1:38" ht="35.1" customHeight="1" x14ac:dyDescent="0.2">
      <c r="A119" s="113" t="s">
        <v>319</v>
      </c>
      <c r="B119" s="67" t="s">
        <v>2</v>
      </c>
      <c r="C119" s="114">
        <v>0</v>
      </c>
      <c r="D119" s="9" t="s">
        <v>135</v>
      </c>
      <c r="E119" s="10"/>
      <c r="F119" s="10"/>
      <c r="G119" s="10"/>
      <c r="H119" s="10"/>
      <c r="I119" s="11"/>
      <c r="J119" s="9"/>
      <c r="K119" s="10"/>
      <c r="L119" s="10"/>
      <c r="M119" s="10"/>
      <c r="N119" s="10" t="s">
        <v>135</v>
      </c>
      <c r="O119" s="10"/>
      <c r="P119" s="11"/>
      <c r="Q119" s="12">
        <v>210</v>
      </c>
      <c r="R119" s="13">
        <v>20</v>
      </c>
      <c r="S119" s="13">
        <v>0</v>
      </c>
      <c r="T119" s="13">
        <v>0</v>
      </c>
      <c r="U119" s="14" t="s">
        <v>218</v>
      </c>
      <c r="V119" s="31" t="s">
        <v>83</v>
      </c>
      <c r="W119" s="3">
        <v>1</v>
      </c>
      <c r="X119" s="32">
        <v>1.25</v>
      </c>
      <c r="Y119" s="2" t="s">
        <v>385</v>
      </c>
      <c r="Z119" s="33">
        <v>2</v>
      </c>
      <c r="AA119" s="34">
        <v>16</v>
      </c>
      <c r="AB119" s="40" t="s">
        <v>344</v>
      </c>
      <c r="AC119" s="1" t="s">
        <v>347</v>
      </c>
      <c r="AD119" s="116" t="s">
        <v>347</v>
      </c>
      <c r="AE119" s="39" t="s">
        <v>526</v>
      </c>
      <c r="AF119" s="52">
        <v>25</v>
      </c>
      <c r="AG119" s="106">
        <v>25</v>
      </c>
      <c r="AH119" s="52">
        <v>2.5</v>
      </c>
      <c r="AI119" s="58" t="s">
        <v>348</v>
      </c>
      <c r="AJ119" s="27" t="s">
        <v>174</v>
      </c>
      <c r="AK119" s="54">
        <v>3</v>
      </c>
      <c r="AL119" s="55">
        <v>12</v>
      </c>
    </row>
    <row r="120" spans="1:38" ht="35.1" customHeight="1" x14ac:dyDescent="0.2">
      <c r="A120" s="113" t="s">
        <v>367</v>
      </c>
      <c r="B120" s="67" t="s">
        <v>0</v>
      </c>
      <c r="C120" s="114">
        <v>11</v>
      </c>
      <c r="D120" s="9"/>
      <c r="E120" s="10" t="s">
        <v>135</v>
      </c>
      <c r="F120" s="10"/>
      <c r="G120" s="10"/>
      <c r="H120" s="10"/>
      <c r="I120" s="11"/>
      <c r="J120" s="9"/>
      <c r="K120" s="10"/>
      <c r="L120" s="10"/>
      <c r="M120" s="10"/>
      <c r="N120" s="10" t="s">
        <v>135</v>
      </c>
      <c r="O120" s="10"/>
      <c r="P120" s="11"/>
      <c r="Q120" s="12">
        <v>305</v>
      </c>
      <c r="R120" s="13">
        <v>80</v>
      </c>
      <c r="S120" s="13">
        <v>0</v>
      </c>
      <c r="T120" s="13">
        <v>0</v>
      </c>
      <c r="U120" s="14" t="s">
        <v>259</v>
      </c>
      <c r="V120" s="31" t="s">
        <v>83</v>
      </c>
      <c r="W120" s="3">
        <v>3</v>
      </c>
      <c r="X120" s="32">
        <v>5</v>
      </c>
      <c r="Y120" s="2" t="s">
        <v>384</v>
      </c>
      <c r="Z120" s="33">
        <v>2</v>
      </c>
      <c r="AA120" s="34">
        <v>6</v>
      </c>
      <c r="AB120" s="40" t="s">
        <v>163</v>
      </c>
      <c r="AC120" s="1" t="s">
        <v>184</v>
      </c>
      <c r="AD120" s="116" t="s">
        <v>184</v>
      </c>
      <c r="AE120" s="39" t="s">
        <v>80</v>
      </c>
      <c r="AF120" s="52">
        <v>40</v>
      </c>
      <c r="AG120" s="106">
        <v>40</v>
      </c>
      <c r="AH120" s="52">
        <v>8</v>
      </c>
      <c r="AI120" s="58" t="s">
        <v>380</v>
      </c>
      <c r="AJ120" s="27" t="s">
        <v>177</v>
      </c>
      <c r="AK120" s="54">
        <v>8</v>
      </c>
      <c r="AL120" s="55">
        <v>36</v>
      </c>
    </row>
    <row r="121" spans="1:38" ht="35.1" customHeight="1" x14ac:dyDescent="0.2">
      <c r="A121" s="113" t="s">
        <v>22</v>
      </c>
      <c r="B121" s="67" t="s">
        <v>0</v>
      </c>
      <c r="C121" s="114">
        <v>0</v>
      </c>
      <c r="D121" s="9"/>
      <c r="E121" s="10" t="s">
        <v>135</v>
      </c>
      <c r="F121" s="10"/>
      <c r="G121" s="10"/>
      <c r="H121" s="10"/>
      <c r="I121" s="11"/>
      <c r="J121" s="9"/>
      <c r="K121" s="10" t="s">
        <v>135</v>
      </c>
      <c r="L121" s="10"/>
      <c r="M121" s="10" t="s">
        <v>135</v>
      </c>
      <c r="N121" s="10"/>
      <c r="O121" s="10"/>
      <c r="P121" s="11"/>
      <c r="Q121" s="12">
        <v>705</v>
      </c>
      <c r="R121" s="13">
        <v>0</v>
      </c>
      <c r="S121" s="13">
        <v>0</v>
      </c>
      <c r="T121" s="13">
        <v>0</v>
      </c>
      <c r="U121" s="14" t="s">
        <v>476</v>
      </c>
      <c r="V121" s="31" t="s">
        <v>83</v>
      </c>
      <c r="W121" s="3">
        <v>3</v>
      </c>
      <c r="X121" s="32">
        <v>3</v>
      </c>
      <c r="Y121" s="2" t="s">
        <v>80</v>
      </c>
      <c r="Z121" s="33">
        <v>1</v>
      </c>
      <c r="AA121" s="34">
        <v>2</v>
      </c>
      <c r="AB121" s="40" t="s">
        <v>196</v>
      </c>
      <c r="AC121" s="1" t="s">
        <v>177</v>
      </c>
      <c r="AD121" s="116" t="s">
        <v>177</v>
      </c>
      <c r="AE121" s="39" t="s">
        <v>80</v>
      </c>
      <c r="AF121" s="52">
        <v>18</v>
      </c>
      <c r="AG121" s="106">
        <v>18</v>
      </c>
      <c r="AH121" s="52">
        <v>4</v>
      </c>
      <c r="AI121" s="53" t="s">
        <v>252</v>
      </c>
      <c r="AJ121" s="27" t="s">
        <v>174</v>
      </c>
      <c r="AK121" s="54">
        <v>3</v>
      </c>
      <c r="AL121" s="55">
        <v>24</v>
      </c>
    </row>
    <row r="122" spans="1:38" ht="35.1" customHeight="1" x14ac:dyDescent="0.2">
      <c r="A122" s="113" t="s">
        <v>439</v>
      </c>
      <c r="B122" s="67" t="s">
        <v>2</v>
      </c>
      <c r="C122" s="114">
        <v>15</v>
      </c>
      <c r="D122" s="9" t="s">
        <v>135</v>
      </c>
      <c r="E122" s="10"/>
      <c r="F122" s="10"/>
      <c r="G122" s="10"/>
      <c r="H122" s="10"/>
      <c r="I122" s="11"/>
      <c r="J122" s="9"/>
      <c r="K122" s="10"/>
      <c r="L122" s="10"/>
      <c r="M122" s="10"/>
      <c r="N122" s="10"/>
      <c r="O122" s="10"/>
      <c r="P122" s="11" t="s">
        <v>135</v>
      </c>
      <c r="Q122" s="12">
        <v>625</v>
      </c>
      <c r="R122" s="13">
        <v>0</v>
      </c>
      <c r="S122" s="13">
        <v>0</v>
      </c>
      <c r="T122" s="13">
        <v>0</v>
      </c>
      <c r="U122" s="14" t="s">
        <v>300</v>
      </c>
      <c r="V122" s="31" t="s">
        <v>80</v>
      </c>
      <c r="W122" s="3">
        <v>3</v>
      </c>
      <c r="X122" s="32">
        <v>1.25</v>
      </c>
      <c r="Y122" s="2" t="s">
        <v>80</v>
      </c>
      <c r="Z122" s="16">
        <v>1</v>
      </c>
      <c r="AA122" s="17">
        <v>7</v>
      </c>
      <c r="AB122" s="40" t="s">
        <v>440</v>
      </c>
      <c r="AC122" s="1" t="s">
        <v>162</v>
      </c>
      <c r="AD122" s="116" t="s">
        <v>219</v>
      </c>
      <c r="AE122" s="39" t="s">
        <v>80</v>
      </c>
      <c r="AF122" s="52">
        <v>33</v>
      </c>
      <c r="AG122" s="106">
        <v>33</v>
      </c>
      <c r="AH122" s="52">
        <v>2</v>
      </c>
      <c r="AI122" s="53" t="s">
        <v>137</v>
      </c>
      <c r="AJ122" s="27" t="s">
        <v>177</v>
      </c>
      <c r="AK122" s="54">
        <v>12</v>
      </c>
      <c r="AL122" s="55">
        <v>12</v>
      </c>
    </row>
    <row r="123" spans="1:38" ht="35.1" customHeight="1" x14ac:dyDescent="0.2">
      <c r="A123" s="113" t="s">
        <v>21</v>
      </c>
      <c r="B123" s="67" t="s">
        <v>8</v>
      </c>
      <c r="C123" s="114">
        <v>6</v>
      </c>
      <c r="D123" s="9"/>
      <c r="E123" s="10" t="s">
        <v>135</v>
      </c>
      <c r="F123" s="10"/>
      <c r="G123" s="10"/>
      <c r="H123" s="10"/>
      <c r="I123" s="11"/>
      <c r="J123" s="9"/>
      <c r="K123" s="10" t="s">
        <v>135</v>
      </c>
      <c r="L123" s="10" t="s">
        <v>135</v>
      </c>
      <c r="M123" s="10"/>
      <c r="N123" s="10" t="s">
        <v>135</v>
      </c>
      <c r="O123" s="10"/>
      <c r="P123" s="11"/>
      <c r="Q123" s="12">
        <v>920</v>
      </c>
      <c r="R123" s="13">
        <v>56</v>
      </c>
      <c r="S123" s="13">
        <v>0</v>
      </c>
      <c r="T123" s="13">
        <v>0</v>
      </c>
      <c r="U123" s="14" t="s">
        <v>195</v>
      </c>
      <c r="V123" s="31" t="s">
        <v>83</v>
      </c>
      <c r="W123" s="3">
        <v>4</v>
      </c>
      <c r="X123" s="32">
        <v>3</v>
      </c>
      <c r="Y123" s="2" t="s">
        <v>80</v>
      </c>
      <c r="Z123" s="33">
        <v>1</v>
      </c>
      <c r="AA123" s="34">
        <v>2</v>
      </c>
      <c r="AB123" s="40" t="s">
        <v>196</v>
      </c>
      <c r="AC123" s="1" t="s">
        <v>159</v>
      </c>
      <c r="AD123" s="116" t="s">
        <v>159</v>
      </c>
      <c r="AE123" s="39" t="s">
        <v>80</v>
      </c>
      <c r="AF123" s="52">
        <v>27.5</v>
      </c>
      <c r="AG123" s="106">
        <v>27.5</v>
      </c>
      <c r="AH123" s="52">
        <v>4</v>
      </c>
      <c r="AI123" s="53" t="s">
        <v>137</v>
      </c>
      <c r="AJ123" s="27" t="s">
        <v>162</v>
      </c>
      <c r="AK123" s="54">
        <v>6</v>
      </c>
      <c r="AL123" s="55">
        <v>30</v>
      </c>
    </row>
    <row r="124" spans="1:38" ht="35.1" customHeight="1" x14ac:dyDescent="0.2">
      <c r="A124" s="113" t="s">
        <v>20</v>
      </c>
      <c r="B124" s="67" t="s">
        <v>6</v>
      </c>
      <c r="C124" s="114">
        <v>0</v>
      </c>
      <c r="D124" s="9" t="s">
        <v>135</v>
      </c>
      <c r="E124" s="10"/>
      <c r="F124" s="10"/>
      <c r="G124" s="10"/>
      <c r="H124" s="10"/>
      <c r="I124" s="11"/>
      <c r="J124" s="9"/>
      <c r="K124" s="10"/>
      <c r="L124" s="10"/>
      <c r="M124" s="10"/>
      <c r="N124" s="10"/>
      <c r="O124" s="10"/>
      <c r="P124" s="11" t="s">
        <v>135</v>
      </c>
      <c r="Q124" s="12">
        <v>270</v>
      </c>
      <c r="R124" s="13">
        <v>0</v>
      </c>
      <c r="S124" s="13">
        <v>0</v>
      </c>
      <c r="T124" s="13">
        <v>0</v>
      </c>
      <c r="U124" s="14" t="s">
        <v>273</v>
      </c>
      <c r="V124" s="31" t="s">
        <v>80</v>
      </c>
      <c r="W124" s="3">
        <v>2</v>
      </c>
      <c r="X124" s="32">
        <v>1.25</v>
      </c>
      <c r="Y124" s="2" t="s">
        <v>80</v>
      </c>
      <c r="Z124" s="33">
        <v>5</v>
      </c>
      <c r="AA124" s="34">
        <v>10</v>
      </c>
      <c r="AB124" s="40" t="s">
        <v>256</v>
      </c>
      <c r="AC124" s="1" t="s">
        <v>258</v>
      </c>
      <c r="AD124" s="116" t="s">
        <v>258</v>
      </c>
      <c r="AE124" s="39" t="s">
        <v>80</v>
      </c>
      <c r="AF124" s="52">
        <v>20</v>
      </c>
      <c r="AG124" s="106">
        <v>20</v>
      </c>
      <c r="AH124" s="52">
        <v>2</v>
      </c>
      <c r="AI124" s="53" t="s">
        <v>137</v>
      </c>
      <c r="AJ124" s="27" t="s">
        <v>177</v>
      </c>
      <c r="AK124" s="54">
        <v>8</v>
      </c>
      <c r="AL124" s="55">
        <v>9</v>
      </c>
    </row>
    <row r="125" spans="1:38" ht="35.1" customHeight="1" x14ac:dyDescent="0.2">
      <c r="A125" s="113" t="s">
        <v>441</v>
      </c>
      <c r="B125" s="67" t="s">
        <v>2</v>
      </c>
      <c r="C125" s="114">
        <v>15</v>
      </c>
      <c r="D125" s="9" t="s">
        <v>135</v>
      </c>
      <c r="E125" s="10"/>
      <c r="F125" s="10"/>
      <c r="G125" s="10"/>
      <c r="H125" s="10"/>
      <c r="I125" s="11"/>
      <c r="J125" s="9"/>
      <c r="K125" s="10"/>
      <c r="L125" s="10" t="s">
        <v>135</v>
      </c>
      <c r="M125" s="10"/>
      <c r="N125" s="10"/>
      <c r="O125" s="10"/>
      <c r="P125" s="11" t="s">
        <v>135</v>
      </c>
      <c r="Q125" s="12">
        <v>1000</v>
      </c>
      <c r="R125" s="13">
        <v>0</v>
      </c>
      <c r="S125" s="13">
        <v>0</v>
      </c>
      <c r="T125" s="13">
        <v>0</v>
      </c>
      <c r="U125" s="14" t="s">
        <v>300</v>
      </c>
      <c r="V125" s="31" t="s">
        <v>80</v>
      </c>
      <c r="W125" s="3">
        <v>4</v>
      </c>
      <c r="X125" s="32">
        <v>2</v>
      </c>
      <c r="Y125" s="2" t="s">
        <v>80</v>
      </c>
      <c r="Z125" s="16">
        <v>1</v>
      </c>
      <c r="AA125" s="17">
        <v>3</v>
      </c>
      <c r="AB125" s="40" t="s">
        <v>264</v>
      </c>
      <c r="AC125" s="1" t="s">
        <v>177</v>
      </c>
      <c r="AD125" s="116" t="s">
        <v>159</v>
      </c>
      <c r="AE125" s="39" t="s">
        <v>80</v>
      </c>
      <c r="AF125" s="52">
        <v>40</v>
      </c>
      <c r="AG125" s="106">
        <v>40</v>
      </c>
      <c r="AH125" s="52">
        <v>7</v>
      </c>
      <c r="AI125" s="53" t="s">
        <v>137</v>
      </c>
      <c r="AJ125" s="27" t="s">
        <v>177</v>
      </c>
      <c r="AK125" s="54">
        <v>15</v>
      </c>
      <c r="AL125" s="55">
        <v>30</v>
      </c>
    </row>
    <row r="126" spans="1:38" ht="35.1" customHeight="1" x14ac:dyDescent="0.2">
      <c r="A126" s="113" t="s">
        <v>518</v>
      </c>
      <c r="B126" s="67" t="s">
        <v>0</v>
      </c>
      <c r="C126" s="114">
        <v>19</v>
      </c>
      <c r="D126" s="9" t="s">
        <v>135</v>
      </c>
      <c r="E126" s="10"/>
      <c r="F126" s="10"/>
      <c r="G126" s="10"/>
      <c r="H126" s="10"/>
      <c r="I126" s="11"/>
      <c r="J126" s="9"/>
      <c r="K126" s="10"/>
      <c r="L126" s="10" t="s">
        <v>135</v>
      </c>
      <c r="M126" s="10"/>
      <c r="N126" s="10"/>
      <c r="O126" s="10"/>
      <c r="P126" s="11" t="s">
        <v>135</v>
      </c>
      <c r="Q126" s="12">
        <v>215</v>
      </c>
      <c r="R126" s="13">
        <v>0</v>
      </c>
      <c r="S126" s="13">
        <v>0</v>
      </c>
      <c r="T126" s="13">
        <v>0</v>
      </c>
      <c r="U126" s="14" t="s">
        <v>297</v>
      </c>
      <c r="V126" s="31" t="s">
        <v>80</v>
      </c>
      <c r="W126" s="3">
        <v>1</v>
      </c>
      <c r="X126" s="32">
        <v>1</v>
      </c>
      <c r="Y126" s="2" t="s">
        <v>80</v>
      </c>
      <c r="Z126" s="16">
        <v>1</v>
      </c>
      <c r="AA126" s="17">
        <v>8</v>
      </c>
      <c r="AB126" s="40" t="s">
        <v>519</v>
      </c>
      <c r="AC126" s="1" t="s">
        <v>162</v>
      </c>
      <c r="AD126" s="116" t="s">
        <v>205</v>
      </c>
      <c r="AE126" s="39" t="s">
        <v>83</v>
      </c>
      <c r="AF126" s="52">
        <v>60</v>
      </c>
      <c r="AG126" s="106">
        <v>60</v>
      </c>
      <c r="AH126" s="52">
        <v>15</v>
      </c>
      <c r="AI126" s="53" t="s">
        <v>137</v>
      </c>
      <c r="AJ126" s="27" t="s">
        <v>184</v>
      </c>
      <c r="AK126" s="54">
        <v>4</v>
      </c>
      <c r="AL126" s="55">
        <v>8</v>
      </c>
    </row>
    <row r="127" spans="1:38" ht="35.1" customHeight="1" x14ac:dyDescent="0.2">
      <c r="A127" s="113" t="s">
        <v>19</v>
      </c>
      <c r="B127" s="67" t="s">
        <v>6</v>
      </c>
      <c r="C127" s="114">
        <v>0</v>
      </c>
      <c r="D127" s="9" t="s">
        <v>135</v>
      </c>
      <c r="E127" s="10"/>
      <c r="F127" s="10"/>
      <c r="G127" s="10"/>
      <c r="H127" s="10"/>
      <c r="I127" s="11"/>
      <c r="J127" s="9"/>
      <c r="K127" s="10"/>
      <c r="L127" s="10" t="s">
        <v>135</v>
      </c>
      <c r="M127" s="10"/>
      <c r="N127" s="10"/>
      <c r="O127" s="10"/>
      <c r="P127" s="11" t="s">
        <v>135</v>
      </c>
      <c r="Q127" s="12">
        <v>425</v>
      </c>
      <c r="R127" s="13">
        <v>0</v>
      </c>
      <c r="S127" s="13">
        <v>0</v>
      </c>
      <c r="T127" s="13">
        <v>0</v>
      </c>
      <c r="U127" s="14" t="s">
        <v>273</v>
      </c>
      <c r="V127" s="31" t="s">
        <v>80</v>
      </c>
      <c r="W127" s="3">
        <v>2</v>
      </c>
      <c r="X127" s="32">
        <v>1.25</v>
      </c>
      <c r="Y127" s="2" t="s">
        <v>80</v>
      </c>
      <c r="Z127" s="33">
        <v>3</v>
      </c>
      <c r="AA127" s="34">
        <v>35</v>
      </c>
      <c r="AB127" s="40" t="s">
        <v>274</v>
      </c>
      <c r="AC127" s="1" t="s">
        <v>275</v>
      </c>
      <c r="AD127" s="116" t="s">
        <v>275</v>
      </c>
      <c r="AE127" s="39" t="s">
        <v>83</v>
      </c>
      <c r="AF127" s="52">
        <v>10</v>
      </c>
      <c r="AG127" s="106">
        <v>10</v>
      </c>
      <c r="AH127" s="52">
        <v>1</v>
      </c>
      <c r="AI127" s="53" t="s">
        <v>137</v>
      </c>
      <c r="AJ127" s="27" t="s">
        <v>177</v>
      </c>
      <c r="AK127" s="54">
        <v>6</v>
      </c>
      <c r="AL127" s="55">
        <v>12</v>
      </c>
    </row>
    <row r="128" spans="1:38" ht="35.1" customHeight="1" x14ac:dyDescent="0.2">
      <c r="A128" s="113" t="s">
        <v>18</v>
      </c>
      <c r="B128" s="67" t="s">
        <v>17</v>
      </c>
      <c r="C128" s="114">
        <v>0</v>
      </c>
      <c r="D128" s="9" t="s">
        <v>135</v>
      </c>
      <c r="E128" s="10"/>
      <c r="F128" s="10"/>
      <c r="G128" s="10"/>
      <c r="H128" s="10"/>
      <c r="I128" s="11"/>
      <c r="J128" s="9"/>
      <c r="K128" s="10"/>
      <c r="L128" s="10" t="s">
        <v>135</v>
      </c>
      <c r="M128" s="10"/>
      <c r="N128" s="10"/>
      <c r="O128" s="10"/>
      <c r="P128" s="11"/>
      <c r="Q128" s="12">
        <v>510</v>
      </c>
      <c r="R128" s="13">
        <v>0</v>
      </c>
      <c r="S128" s="13">
        <v>0</v>
      </c>
      <c r="T128" s="13">
        <v>0</v>
      </c>
      <c r="U128" s="14" t="s">
        <v>156</v>
      </c>
      <c r="V128" s="31" t="s">
        <v>80</v>
      </c>
      <c r="W128" s="3">
        <v>2</v>
      </c>
      <c r="X128" s="32">
        <v>1.25</v>
      </c>
      <c r="Y128" s="2" t="s">
        <v>80</v>
      </c>
      <c r="Z128" s="33">
        <v>3</v>
      </c>
      <c r="AA128" s="34">
        <v>6</v>
      </c>
      <c r="AB128" s="40" t="s">
        <v>191</v>
      </c>
      <c r="AC128" s="1" t="s">
        <v>225</v>
      </c>
      <c r="AD128" s="116" t="s">
        <v>225</v>
      </c>
      <c r="AE128" s="39" t="s">
        <v>80</v>
      </c>
      <c r="AF128" s="52">
        <v>25</v>
      </c>
      <c r="AG128" s="106">
        <v>25</v>
      </c>
      <c r="AH128" s="52">
        <v>4</v>
      </c>
      <c r="AI128" s="53" t="s">
        <v>137</v>
      </c>
      <c r="AJ128" s="27" t="s">
        <v>177</v>
      </c>
      <c r="AK128" s="54">
        <v>13</v>
      </c>
      <c r="AL128" s="55">
        <v>12</v>
      </c>
    </row>
    <row r="129" spans="1:38" ht="35.1" customHeight="1" x14ac:dyDescent="0.2">
      <c r="A129" s="113" t="s">
        <v>399</v>
      </c>
      <c r="B129" s="67" t="s">
        <v>6</v>
      </c>
      <c r="C129" s="114">
        <v>13</v>
      </c>
      <c r="D129" s="9" t="s">
        <v>135</v>
      </c>
      <c r="E129" s="10"/>
      <c r="F129" s="10"/>
      <c r="G129" s="10"/>
      <c r="H129" s="10"/>
      <c r="I129" s="11"/>
      <c r="J129" s="9"/>
      <c r="K129" s="10"/>
      <c r="L129" s="10" t="s">
        <v>135</v>
      </c>
      <c r="M129" s="10"/>
      <c r="N129" s="10"/>
      <c r="O129" s="10"/>
      <c r="P129" s="11"/>
      <c r="Q129" s="12">
        <v>410</v>
      </c>
      <c r="R129" s="13">
        <v>0</v>
      </c>
      <c r="S129" s="13">
        <v>0</v>
      </c>
      <c r="T129" s="13">
        <v>0</v>
      </c>
      <c r="U129" s="14" t="s">
        <v>156</v>
      </c>
      <c r="V129" s="31" t="s">
        <v>80</v>
      </c>
      <c r="W129" s="3">
        <v>2</v>
      </c>
      <c r="X129" s="32">
        <v>1.25</v>
      </c>
      <c r="Y129" s="2" t="s">
        <v>80</v>
      </c>
      <c r="Z129" s="33">
        <v>4</v>
      </c>
      <c r="AA129" s="34">
        <v>20</v>
      </c>
      <c r="AB129" s="40" t="s">
        <v>329</v>
      </c>
      <c r="AC129" s="1" t="s">
        <v>401</v>
      </c>
      <c r="AD129" s="116" t="s">
        <v>353</v>
      </c>
      <c r="AE129" s="39" t="s">
        <v>80</v>
      </c>
      <c r="AF129" s="52">
        <v>18</v>
      </c>
      <c r="AG129" s="106">
        <v>18</v>
      </c>
      <c r="AH129" s="52">
        <v>4</v>
      </c>
      <c r="AI129" s="53" t="s">
        <v>137</v>
      </c>
      <c r="AJ129" s="27" t="s">
        <v>177</v>
      </c>
      <c r="AK129" s="54">
        <v>8</v>
      </c>
      <c r="AL129" s="55">
        <v>12</v>
      </c>
    </row>
    <row r="130" spans="1:38" ht="35.1" customHeight="1" x14ac:dyDescent="0.2">
      <c r="A130" s="113" t="s">
        <v>400</v>
      </c>
      <c r="B130" s="67" t="s">
        <v>17</v>
      </c>
      <c r="C130" s="114">
        <v>13</v>
      </c>
      <c r="D130" s="9" t="s">
        <v>135</v>
      </c>
      <c r="E130" s="10" t="s">
        <v>135</v>
      </c>
      <c r="F130" s="10"/>
      <c r="G130" s="10"/>
      <c r="H130" s="10"/>
      <c r="I130" s="11"/>
      <c r="J130" s="9"/>
      <c r="K130" s="10" t="s">
        <v>135</v>
      </c>
      <c r="L130" s="10" t="s">
        <v>135</v>
      </c>
      <c r="M130" s="10"/>
      <c r="N130" s="10" t="s">
        <v>135</v>
      </c>
      <c r="O130" s="10"/>
      <c r="P130" s="11" t="s">
        <v>135</v>
      </c>
      <c r="Q130" s="12">
        <v>1162</v>
      </c>
      <c r="R130" s="13">
        <v>0</v>
      </c>
      <c r="S130" s="13">
        <v>0</v>
      </c>
      <c r="T130" s="13">
        <v>0</v>
      </c>
      <c r="U130" s="14" t="s">
        <v>396</v>
      </c>
      <c r="V130" s="31" t="s">
        <v>80</v>
      </c>
      <c r="W130" s="3">
        <v>2</v>
      </c>
      <c r="X130" s="32">
        <v>1.25</v>
      </c>
      <c r="Y130" s="2" t="s">
        <v>80</v>
      </c>
      <c r="Z130" s="33">
        <v>1</v>
      </c>
      <c r="AA130" s="34">
        <v>7</v>
      </c>
      <c r="AB130" s="40" t="s">
        <v>477</v>
      </c>
      <c r="AC130" s="1" t="s">
        <v>219</v>
      </c>
      <c r="AD130" s="116" t="s">
        <v>219</v>
      </c>
      <c r="AE130" s="39" t="s">
        <v>80</v>
      </c>
      <c r="AF130" s="52">
        <v>16</v>
      </c>
      <c r="AG130" s="106">
        <v>16</v>
      </c>
      <c r="AH130" s="52">
        <v>2</v>
      </c>
      <c r="AI130" s="53">
        <v>12</v>
      </c>
      <c r="AJ130" s="27" t="s">
        <v>194</v>
      </c>
      <c r="AK130" s="54">
        <v>3</v>
      </c>
      <c r="AL130" s="55">
        <v>15</v>
      </c>
    </row>
    <row r="131" spans="1:38" ht="35.1" customHeight="1" x14ac:dyDescent="0.2">
      <c r="A131" s="113" t="s">
        <v>368</v>
      </c>
      <c r="B131" s="67" t="s">
        <v>6</v>
      </c>
      <c r="C131" s="114">
        <v>12</v>
      </c>
      <c r="D131" s="9"/>
      <c r="E131" s="10"/>
      <c r="F131" s="10"/>
      <c r="G131" s="10" t="s">
        <v>135</v>
      </c>
      <c r="H131" s="10"/>
      <c r="I131" s="11"/>
      <c r="J131" s="9"/>
      <c r="K131" s="10" t="s">
        <v>135</v>
      </c>
      <c r="L131" s="10" t="s">
        <v>135</v>
      </c>
      <c r="M131" s="10" t="s">
        <v>135</v>
      </c>
      <c r="N131" s="10"/>
      <c r="O131" s="10"/>
      <c r="P131" s="11"/>
      <c r="Q131" s="12">
        <v>180</v>
      </c>
      <c r="R131" s="13">
        <v>0</v>
      </c>
      <c r="S131" s="13">
        <v>0</v>
      </c>
      <c r="T131" s="13">
        <v>0</v>
      </c>
      <c r="U131" s="14" t="s">
        <v>331</v>
      </c>
      <c r="V131" s="31" t="s">
        <v>80</v>
      </c>
      <c r="W131" s="3">
        <v>1</v>
      </c>
      <c r="X131" s="32">
        <v>1.25</v>
      </c>
      <c r="Y131" s="2" t="s">
        <v>80</v>
      </c>
      <c r="Z131" s="33">
        <v>1</v>
      </c>
      <c r="AA131" s="34">
        <v>2</v>
      </c>
      <c r="AB131" s="40" t="s">
        <v>196</v>
      </c>
      <c r="AC131" s="1" t="s">
        <v>159</v>
      </c>
      <c r="AD131" s="116" t="s">
        <v>177</v>
      </c>
      <c r="AE131" s="39" t="s">
        <v>80</v>
      </c>
      <c r="AF131" s="52">
        <v>8</v>
      </c>
      <c r="AG131" s="106">
        <v>8</v>
      </c>
      <c r="AH131" s="52">
        <v>1</v>
      </c>
      <c r="AI131" s="53" t="s">
        <v>137</v>
      </c>
      <c r="AJ131" s="27" t="s">
        <v>157</v>
      </c>
      <c r="AK131" s="54">
        <v>2</v>
      </c>
      <c r="AL131" s="55">
        <v>12</v>
      </c>
    </row>
    <row r="132" spans="1:38" ht="35.1" customHeight="1" x14ac:dyDescent="0.2">
      <c r="A132" s="113" t="s">
        <v>520</v>
      </c>
      <c r="B132" s="67" t="s">
        <v>12</v>
      </c>
      <c r="C132" s="114">
        <v>18</v>
      </c>
      <c r="D132" s="9"/>
      <c r="E132" s="10"/>
      <c r="F132" s="10" t="s">
        <v>135</v>
      </c>
      <c r="G132" s="10"/>
      <c r="H132" s="10"/>
      <c r="I132" s="11"/>
      <c r="J132" s="9"/>
      <c r="K132" s="10" t="s">
        <v>135</v>
      </c>
      <c r="L132" s="10" t="s">
        <v>135</v>
      </c>
      <c r="M132" s="10" t="s">
        <v>135</v>
      </c>
      <c r="N132" s="10" t="s">
        <v>135</v>
      </c>
      <c r="O132" s="10"/>
      <c r="P132" s="11"/>
      <c r="Q132" s="12">
        <v>200</v>
      </c>
      <c r="R132" s="13">
        <v>0</v>
      </c>
      <c r="S132" s="13">
        <v>0</v>
      </c>
      <c r="T132" s="13">
        <v>0</v>
      </c>
      <c r="U132" s="14" t="s">
        <v>342</v>
      </c>
      <c r="V132" s="31" t="s">
        <v>80</v>
      </c>
      <c r="W132" s="3">
        <v>1</v>
      </c>
      <c r="X132" s="32">
        <v>1.25</v>
      </c>
      <c r="Y132" s="2" t="s">
        <v>80</v>
      </c>
      <c r="Z132" s="16">
        <v>2</v>
      </c>
      <c r="AA132" s="17">
        <v>80</v>
      </c>
      <c r="AB132" s="40" t="s">
        <v>521</v>
      </c>
      <c r="AC132" s="1" t="s">
        <v>280</v>
      </c>
      <c r="AD132" s="116" t="s">
        <v>522</v>
      </c>
      <c r="AE132" s="39" t="s">
        <v>526</v>
      </c>
      <c r="AF132" s="52">
        <v>6.5</v>
      </c>
      <c r="AG132" s="106">
        <v>6.5</v>
      </c>
      <c r="AH132" s="52">
        <v>0.66</v>
      </c>
      <c r="AI132" s="53" t="s">
        <v>137</v>
      </c>
      <c r="AJ132" s="27" t="s">
        <v>194</v>
      </c>
      <c r="AK132" s="54">
        <v>1</v>
      </c>
      <c r="AL132" s="55">
        <v>5</v>
      </c>
    </row>
    <row r="133" spans="1:38" ht="35.1" customHeight="1" x14ac:dyDescent="0.2">
      <c r="A133" s="113" t="s">
        <v>16</v>
      </c>
      <c r="B133" s="67" t="s">
        <v>8</v>
      </c>
      <c r="C133" s="114">
        <v>0</v>
      </c>
      <c r="D133" s="9"/>
      <c r="E133" s="10" t="s">
        <v>135</v>
      </c>
      <c r="F133" s="10"/>
      <c r="G133" s="10"/>
      <c r="H133" s="10"/>
      <c r="I133" s="11"/>
      <c r="J133" s="9"/>
      <c r="K133" s="10" t="s">
        <v>135</v>
      </c>
      <c r="L133" s="10"/>
      <c r="M133" s="10" t="s">
        <v>135</v>
      </c>
      <c r="N133" s="10" t="s">
        <v>135</v>
      </c>
      <c r="O133" s="10"/>
      <c r="P133" s="11"/>
      <c r="Q133" s="12">
        <v>950</v>
      </c>
      <c r="R133" s="13">
        <v>40</v>
      </c>
      <c r="S133" s="13">
        <v>0</v>
      </c>
      <c r="T133" s="13">
        <v>0</v>
      </c>
      <c r="U133" s="14" t="s">
        <v>342</v>
      </c>
      <c r="V133" s="31" t="s">
        <v>83</v>
      </c>
      <c r="W133" s="3">
        <v>4</v>
      </c>
      <c r="X133" s="32">
        <v>2</v>
      </c>
      <c r="Y133" s="2" t="s">
        <v>80</v>
      </c>
      <c r="Z133" s="33">
        <v>1</v>
      </c>
      <c r="AA133" s="34">
        <v>2</v>
      </c>
      <c r="AB133" s="40" t="s">
        <v>196</v>
      </c>
      <c r="AC133" s="1" t="s">
        <v>177</v>
      </c>
      <c r="AD133" s="116" t="s">
        <v>177</v>
      </c>
      <c r="AE133" s="39" t="s">
        <v>80</v>
      </c>
      <c r="AF133" s="52">
        <v>31</v>
      </c>
      <c r="AG133" s="106">
        <v>31</v>
      </c>
      <c r="AH133" s="52">
        <v>5</v>
      </c>
      <c r="AI133" s="53" t="s">
        <v>137</v>
      </c>
      <c r="AJ133" s="27" t="s">
        <v>162</v>
      </c>
      <c r="AK133" s="54">
        <v>7</v>
      </c>
      <c r="AL133" s="55">
        <v>24</v>
      </c>
    </row>
    <row r="134" spans="1:38" ht="35.1" customHeight="1" x14ac:dyDescent="0.2">
      <c r="A134" s="113" t="s">
        <v>482</v>
      </c>
      <c r="B134" s="67" t="s">
        <v>8</v>
      </c>
      <c r="C134" s="114">
        <v>17</v>
      </c>
      <c r="D134" s="9"/>
      <c r="E134" s="10" t="s">
        <v>135</v>
      </c>
      <c r="F134" s="10"/>
      <c r="G134" s="10"/>
      <c r="H134" s="10"/>
      <c r="I134" s="11"/>
      <c r="J134" s="9"/>
      <c r="K134" s="10" t="s">
        <v>135</v>
      </c>
      <c r="L134" s="10"/>
      <c r="M134" s="10" t="s">
        <v>135</v>
      </c>
      <c r="N134" s="10"/>
      <c r="O134" s="10"/>
      <c r="P134" s="11"/>
      <c r="Q134" s="12">
        <v>390</v>
      </c>
      <c r="R134" s="13">
        <v>0</v>
      </c>
      <c r="S134" s="13">
        <v>0</v>
      </c>
      <c r="T134" s="13">
        <v>0</v>
      </c>
      <c r="U134" s="14" t="s">
        <v>496</v>
      </c>
      <c r="V134" s="31" t="s">
        <v>80</v>
      </c>
      <c r="W134" s="3">
        <v>3</v>
      </c>
      <c r="X134" s="32">
        <v>1.25</v>
      </c>
      <c r="Y134" s="2" t="s">
        <v>80</v>
      </c>
      <c r="Z134" s="16">
        <v>2</v>
      </c>
      <c r="AA134" s="17">
        <v>20</v>
      </c>
      <c r="AB134" s="40" t="s">
        <v>329</v>
      </c>
      <c r="AC134" s="1" t="s">
        <v>164</v>
      </c>
      <c r="AD134" s="116" t="s">
        <v>330</v>
      </c>
      <c r="AE134" s="39" t="s">
        <v>80</v>
      </c>
      <c r="AF134" s="52">
        <v>18</v>
      </c>
      <c r="AG134" s="106">
        <v>18</v>
      </c>
      <c r="AH134" s="52">
        <v>2.5</v>
      </c>
      <c r="AI134" s="53" t="s">
        <v>137</v>
      </c>
      <c r="AJ134" s="27" t="s">
        <v>177</v>
      </c>
      <c r="AK134" s="54">
        <v>7</v>
      </c>
      <c r="AL134" s="55">
        <v>12</v>
      </c>
    </row>
    <row r="135" spans="1:38" ht="35.1" customHeight="1" x14ac:dyDescent="0.2">
      <c r="A135" s="113" t="s">
        <v>523</v>
      </c>
      <c r="B135" s="67" t="s">
        <v>12</v>
      </c>
      <c r="C135" s="114">
        <v>18</v>
      </c>
      <c r="D135" s="9"/>
      <c r="E135" s="10"/>
      <c r="F135" s="10" t="s">
        <v>135</v>
      </c>
      <c r="G135" s="10"/>
      <c r="H135" s="10"/>
      <c r="I135" s="11"/>
      <c r="J135" s="9"/>
      <c r="K135" s="10" t="s">
        <v>135</v>
      </c>
      <c r="L135" s="10" t="s">
        <v>135</v>
      </c>
      <c r="M135" s="10" t="s">
        <v>135</v>
      </c>
      <c r="N135" s="10"/>
      <c r="O135" s="10"/>
      <c r="P135" s="11"/>
      <c r="Q135" s="12">
        <v>290</v>
      </c>
      <c r="R135" s="13">
        <v>0</v>
      </c>
      <c r="S135" s="13">
        <v>0</v>
      </c>
      <c r="T135" s="13">
        <v>0</v>
      </c>
      <c r="U135" s="14" t="s">
        <v>387</v>
      </c>
      <c r="V135" s="31" t="s">
        <v>80</v>
      </c>
      <c r="W135" s="3">
        <v>3</v>
      </c>
      <c r="X135" s="32">
        <v>1.25</v>
      </c>
      <c r="Y135" s="2" t="s">
        <v>80</v>
      </c>
      <c r="Z135" s="16">
        <v>1</v>
      </c>
      <c r="AA135" s="17">
        <v>5</v>
      </c>
      <c r="AB135" s="40" t="s">
        <v>179</v>
      </c>
      <c r="AC135" s="1" t="s">
        <v>162</v>
      </c>
      <c r="AD135" s="116" t="s">
        <v>157</v>
      </c>
      <c r="AE135" s="39" t="s">
        <v>526</v>
      </c>
      <c r="AF135" s="52">
        <v>17</v>
      </c>
      <c r="AG135" s="106">
        <v>17</v>
      </c>
      <c r="AH135" s="52">
        <v>1</v>
      </c>
      <c r="AI135" s="53">
        <v>12</v>
      </c>
      <c r="AJ135" s="27" t="s">
        <v>164</v>
      </c>
      <c r="AK135" s="54">
        <v>3</v>
      </c>
      <c r="AL135" s="55">
        <v>8</v>
      </c>
    </row>
    <row r="136" spans="1:38" ht="35.1" customHeight="1" x14ac:dyDescent="0.2">
      <c r="A136" s="113" t="s">
        <v>442</v>
      </c>
      <c r="B136" s="67" t="s">
        <v>0</v>
      </c>
      <c r="C136" s="114">
        <v>16</v>
      </c>
      <c r="D136" s="9"/>
      <c r="E136" s="10"/>
      <c r="F136" s="10"/>
      <c r="G136" s="10"/>
      <c r="H136" s="10" t="s">
        <v>135</v>
      </c>
      <c r="I136" s="11"/>
      <c r="J136" s="9"/>
      <c r="K136" s="10" t="s">
        <v>135</v>
      </c>
      <c r="L136" s="10"/>
      <c r="M136" s="10"/>
      <c r="N136" s="10"/>
      <c r="O136" s="10"/>
      <c r="P136" s="11"/>
      <c r="Q136" s="12">
        <v>200</v>
      </c>
      <c r="R136" s="13">
        <v>0</v>
      </c>
      <c r="S136" s="13">
        <v>0</v>
      </c>
      <c r="T136" s="13">
        <v>0</v>
      </c>
      <c r="U136" s="14" t="s">
        <v>338</v>
      </c>
      <c r="V136" s="31" t="s">
        <v>80</v>
      </c>
      <c r="W136" s="3">
        <v>2</v>
      </c>
      <c r="X136" s="32">
        <v>1</v>
      </c>
      <c r="Y136" s="2" t="s">
        <v>80</v>
      </c>
      <c r="Z136" s="16">
        <v>1</v>
      </c>
      <c r="AA136" s="17">
        <v>5</v>
      </c>
      <c r="AB136" s="40" t="s">
        <v>443</v>
      </c>
      <c r="AC136" s="1" t="s">
        <v>157</v>
      </c>
      <c r="AD136" s="116" t="s">
        <v>157</v>
      </c>
      <c r="AE136" s="39" t="s">
        <v>80</v>
      </c>
      <c r="AF136" s="52">
        <v>6.5</v>
      </c>
      <c r="AG136" s="106">
        <v>6.5</v>
      </c>
      <c r="AH136" s="52">
        <v>3</v>
      </c>
      <c r="AI136" s="53" t="s">
        <v>137</v>
      </c>
      <c r="AJ136" s="27" t="s">
        <v>174</v>
      </c>
      <c r="AK136" s="54">
        <v>5</v>
      </c>
      <c r="AL136" s="55">
        <v>12</v>
      </c>
    </row>
    <row r="137" spans="1:38" ht="35.1" customHeight="1" x14ac:dyDescent="0.2">
      <c r="A137" s="113" t="s">
        <v>15</v>
      </c>
      <c r="B137" s="67" t="s">
        <v>6</v>
      </c>
      <c r="C137" s="114">
        <v>1</v>
      </c>
      <c r="D137" s="9" t="s">
        <v>135</v>
      </c>
      <c r="E137" s="10"/>
      <c r="F137" s="10"/>
      <c r="G137" s="10"/>
      <c r="H137" s="10"/>
      <c r="I137" s="11"/>
      <c r="J137" s="9"/>
      <c r="K137" s="10"/>
      <c r="L137" s="10" t="s">
        <v>135</v>
      </c>
      <c r="M137" s="10"/>
      <c r="N137" s="10"/>
      <c r="O137" s="10"/>
      <c r="P137" s="11"/>
      <c r="Q137" s="12">
        <v>425</v>
      </c>
      <c r="R137" s="13">
        <v>0</v>
      </c>
      <c r="S137" s="13">
        <v>0</v>
      </c>
      <c r="T137" s="13">
        <v>0</v>
      </c>
      <c r="U137" s="14" t="s">
        <v>156</v>
      </c>
      <c r="V137" s="31" t="s">
        <v>80</v>
      </c>
      <c r="W137" s="3">
        <v>2</v>
      </c>
      <c r="X137" s="32">
        <v>1.25</v>
      </c>
      <c r="Y137" s="2" t="s">
        <v>80</v>
      </c>
      <c r="Z137" s="33">
        <v>3</v>
      </c>
      <c r="AA137" s="34">
        <v>36</v>
      </c>
      <c r="AB137" s="40" t="s">
        <v>277</v>
      </c>
      <c r="AC137" s="1" t="s">
        <v>278</v>
      </c>
      <c r="AD137" s="116" t="s">
        <v>278</v>
      </c>
      <c r="AE137" s="39" t="s">
        <v>83</v>
      </c>
      <c r="AF137" s="52">
        <v>11</v>
      </c>
      <c r="AG137" s="106">
        <v>11</v>
      </c>
      <c r="AH137" s="52">
        <v>2</v>
      </c>
      <c r="AI137" s="53" t="s">
        <v>137</v>
      </c>
      <c r="AJ137" s="27" t="s">
        <v>177</v>
      </c>
      <c r="AK137" s="54">
        <v>6</v>
      </c>
      <c r="AL137" s="55">
        <v>12</v>
      </c>
    </row>
    <row r="138" spans="1:38" ht="35.1" customHeight="1" x14ac:dyDescent="0.2">
      <c r="A138" s="113" t="s">
        <v>14</v>
      </c>
      <c r="B138" s="67" t="s">
        <v>6</v>
      </c>
      <c r="C138" s="114">
        <v>0</v>
      </c>
      <c r="D138" s="9"/>
      <c r="E138" s="10" t="s">
        <v>135</v>
      </c>
      <c r="F138" s="10" t="s">
        <v>135</v>
      </c>
      <c r="G138" s="10" t="s">
        <v>135</v>
      </c>
      <c r="H138" s="10"/>
      <c r="I138" s="11"/>
      <c r="J138" s="9"/>
      <c r="K138" s="10" t="s">
        <v>135</v>
      </c>
      <c r="L138" s="10"/>
      <c r="M138" s="10" t="s">
        <v>135</v>
      </c>
      <c r="N138" s="10"/>
      <c r="O138" s="10" t="s">
        <v>135</v>
      </c>
      <c r="P138" s="11"/>
      <c r="Q138" s="12">
        <v>1162</v>
      </c>
      <c r="R138" s="13">
        <v>0</v>
      </c>
      <c r="S138" s="13">
        <v>0</v>
      </c>
      <c r="T138" s="13">
        <v>0</v>
      </c>
      <c r="U138" s="14" t="s">
        <v>279</v>
      </c>
      <c r="V138" s="31" t="s">
        <v>80</v>
      </c>
      <c r="W138" s="3">
        <v>2</v>
      </c>
      <c r="X138" s="32">
        <v>1.25</v>
      </c>
      <c r="Y138" s="2" t="s">
        <v>80</v>
      </c>
      <c r="Z138" s="33">
        <v>2</v>
      </c>
      <c r="AA138" s="34">
        <v>12</v>
      </c>
      <c r="AB138" s="40" t="s">
        <v>209</v>
      </c>
      <c r="AC138" s="1" t="s">
        <v>210</v>
      </c>
      <c r="AD138" s="116" t="s">
        <v>210</v>
      </c>
      <c r="AE138" s="39" t="s">
        <v>80</v>
      </c>
      <c r="AF138" s="52">
        <v>12</v>
      </c>
      <c r="AG138" s="106">
        <v>12</v>
      </c>
      <c r="AH138" s="52">
        <v>4</v>
      </c>
      <c r="AI138" s="53" t="s">
        <v>137</v>
      </c>
      <c r="AJ138" s="27" t="s">
        <v>157</v>
      </c>
      <c r="AK138" s="54">
        <v>2</v>
      </c>
      <c r="AL138" s="55">
        <v>12</v>
      </c>
    </row>
    <row r="139" spans="1:38" ht="35.1" customHeight="1" x14ac:dyDescent="0.2">
      <c r="A139" s="113" t="s">
        <v>13</v>
      </c>
      <c r="B139" s="67" t="s">
        <v>12</v>
      </c>
      <c r="C139" s="114">
        <v>0</v>
      </c>
      <c r="D139" s="9"/>
      <c r="E139" s="10" t="s">
        <v>135</v>
      </c>
      <c r="F139" s="10"/>
      <c r="G139" s="10"/>
      <c r="H139" s="10"/>
      <c r="I139" s="11"/>
      <c r="J139" s="9"/>
      <c r="K139" s="10" t="s">
        <v>135</v>
      </c>
      <c r="L139" s="10"/>
      <c r="M139" s="10"/>
      <c r="N139" s="10"/>
      <c r="O139" s="10"/>
      <c r="P139" s="11" t="s">
        <v>135</v>
      </c>
      <c r="Q139" s="12">
        <v>650</v>
      </c>
      <c r="R139" s="13">
        <v>0</v>
      </c>
      <c r="S139" s="13">
        <v>0</v>
      </c>
      <c r="T139" s="13">
        <v>0</v>
      </c>
      <c r="U139" s="14" t="s">
        <v>343</v>
      </c>
      <c r="V139" s="31" t="s">
        <v>80</v>
      </c>
      <c r="W139" s="3">
        <v>2</v>
      </c>
      <c r="X139" s="32">
        <v>1.25</v>
      </c>
      <c r="Y139" s="2" t="s">
        <v>80</v>
      </c>
      <c r="Z139" s="33">
        <v>2</v>
      </c>
      <c r="AA139" s="34">
        <v>11</v>
      </c>
      <c r="AB139" s="40" t="s">
        <v>216</v>
      </c>
      <c r="AC139" s="1" t="s">
        <v>187</v>
      </c>
      <c r="AD139" s="116" t="s">
        <v>281</v>
      </c>
      <c r="AE139" s="39" t="s">
        <v>80</v>
      </c>
      <c r="AF139" s="52">
        <v>40</v>
      </c>
      <c r="AG139" s="106">
        <v>40</v>
      </c>
      <c r="AH139" s="52">
        <v>6</v>
      </c>
      <c r="AI139" s="53">
        <v>35</v>
      </c>
      <c r="AJ139" s="27" t="s">
        <v>177</v>
      </c>
      <c r="AK139" s="54">
        <v>13</v>
      </c>
      <c r="AL139" s="55">
        <v>24</v>
      </c>
    </row>
    <row r="140" spans="1:38" ht="35.1" customHeight="1" x14ac:dyDescent="0.2">
      <c r="A140" s="113" t="s">
        <v>11</v>
      </c>
      <c r="B140" s="67" t="s">
        <v>6</v>
      </c>
      <c r="C140" s="114">
        <v>0</v>
      </c>
      <c r="D140" s="9" t="s">
        <v>135</v>
      </c>
      <c r="E140" s="10"/>
      <c r="F140" s="10"/>
      <c r="G140" s="10"/>
      <c r="H140" s="10"/>
      <c r="I140" s="11"/>
      <c r="J140" s="9"/>
      <c r="K140" s="10"/>
      <c r="L140" s="10" t="s">
        <v>135</v>
      </c>
      <c r="M140" s="10"/>
      <c r="N140" s="10"/>
      <c r="O140" s="10"/>
      <c r="P140" s="11"/>
      <c r="Q140" s="12">
        <v>1162</v>
      </c>
      <c r="R140" s="13">
        <v>0</v>
      </c>
      <c r="S140" s="13">
        <v>0</v>
      </c>
      <c r="T140" s="13">
        <v>0</v>
      </c>
      <c r="U140" s="14" t="s">
        <v>156</v>
      </c>
      <c r="V140" s="31" t="s">
        <v>80</v>
      </c>
      <c r="W140" s="3">
        <v>2</v>
      </c>
      <c r="X140" s="32">
        <v>1.25</v>
      </c>
      <c r="Y140" s="2" t="s">
        <v>80</v>
      </c>
      <c r="Z140" s="33">
        <v>2</v>
      </c>
      <c r="AA140" s="34">
        <v>4</v>
      </c>
      <c r="AB140" s="40" t="s">
        <v>282</v>
      </c>
      <c r="AC140" s="1" t="s">
        <v>194</v>
      </c>
      <c r="AD140" s="116" t="s">
        <v>194</v>
      </c>
      <c r="AE140" s="39" t="s">
        <v>80</v>
      </c>
      <c r="AF140" s="52">
        <v>20</v>
      </c>
      <c r="AG140" s="106">
        <v>20</v>
      </c>
      <c r="AH140" s="52">
        <v>3</v>
      </c>
      <c r="AI140" s="53">
        <v>12</v>
      </c>
      <c r="AJ140" s="27" t="s">
        <v>159</v>
      </c>
      <c r="AK140" s="54">
        <v>4</v>
      </c>
      <c r="AL140" s="55">
        <v>15</v>
      </c>
    </row>
    <row r="141" spans="1:38" ht="35.1" customHeight="1" x14ac:dyDescent="0.2">
      <c r="A141" s="113" t="s">
        <v>481</v>
      </c>
      <c r="B141" s="67" t="s">
        <v>6</v>
      </c>
      <c r="C141" s="114">
        <v>17</v>
      </c>
      <c r="D141" s="9"/>
      <c r="E141" s="10" t="s">
        <v>135</v>
      </c>
      <c r="F141" s="10" t="s">
        <v>135</v>
      </c>
      <c r="G141" s="10" t="s">
        <v>135</v>
      </c>
      <c r="H141" s="10"/>
      <c r="I141" s="11"/>
      <c r="J141" s="9"/>
      <c r="K141" s="10"/>
      <c r="L141" s="10"/>
      <c r="M141" s="10" t="s">
        <v>135</v>
      </c>
      <c r="N141" s="10"/>
      <c r="O141" s="10" t="s">
        <v>135</v>
      </c>
      <c r="P141" s="11"/>
      <c r="Q141" s="12">
        <v>574</v>
      </c>
      <c r="R141" s="13">
        <v>30</v>
      </c>
      <c r="S141" s="13">
        <v>0</v>
      </c>
      <c r="T141" s="13">
        <v>0</v>
      </c>
      <c r="U141" s="14" t="s">
        <v>497</v>
      </c>
      <c r="V141" s="31" t="s">
        <v>83</v>
      </c>
      <c r="W141" s="3">
        <v>3</v>
      </c>
      <c r="X141" s="32">
        <v>3</v>
      </c>
      <c r="Y141" s="2" t="s">
        <v>80</v>
      </c>
      <c r="Z141" s="16">
        <v>1</v>
      </c>
      <c r="AA141" s="17">
        <v>2</v>
      </c>
      <c r="AB141" s="40" t="s">
        <v>196</v>
      </c>
      <c r="AC141" s="1" t="s">
        <v>159</v>
      </c>
      <c r="AD141" s="116" t="s">
        <v>159</v>
      </c>
      <c r="AE141" s="39" t="s">
        <v>80</v>
      </c>
      <c r="AF141" s="52">
        <v>15.5</v>
      </c>
      <c r="AG141" s="106">
        <v>15.5</v>
      </c>
      <c r="AH141" s="52">
        <v>2</v>
      </c>
      <c r="AI141" s="53" t="s">
        <v>137</v>
      </c>
      <c r="AJ141" s="27" t="s">
        <v>157</v>
      </c>
      <c r="AK141" s="54">
        <v>5</v>
      </c>
      <c r="AL141" s="55">
        <v>24</v>
      </c>
    </row>
    <row r="142" spans="1:38" ht="35.1" customHeight="1" x14ac:dyDescent="0.2">
      <c r="A142" s="113" t="s">
        <v>10</v>
      </c>
      <c r="B142" s="67" t="s">
        <v>6</v>
      </c>
      <c r="C142" s="114">
        <v>0</v>
      </c>
      <c r="D142" s="9" t="s">
        <v>135</v>
      </c>
      <c r="E142" s="10"/>
      <c r="F142" s="10"/>
      <c r="G142" s="10"/>
      <c r="H142" s="10"/>
      <c r="I142" s="11"/>
      <c r="J142" s="9"/>
      <c r="K142" s="10"/>
      <c r="L142" s="10" t="s">
        <v>135</v>
      </c>
      <c r="M142" s="10"/>
      <c r="N142" s="10" t="s">
        <v>135</v>
      </c>
      <c r="O142" s="10"/>
      <c r="P142" s="11"/>
      <c r="Q142" s="12">
        <v>290</v>
      </c>
      <c r="R142" s="13">
        <v>0</v>
      </c>
      <c r="S142" s="13">
        <v>0</v>
      </c>
      <c r="T142" s="13">
        <v>0</v>
      </c>
      <c r="U142" s="14" t="s">
        <v>188</v>
      </c>
      <c r="V142" s="31" t="s">
        <v>80</v>
      </c>
      <c r="W142" s="3">
        <v>2</v>
      </c>
      <c r="X142" s="32">
        <v>1.25</v>
      </c>
      <c r="Y142" s="2" t="s">
        <v>80</v>
      </c>
      <c r="Z142" s="33">
        <v>1</v>
      </c>
      <c r="AA142" s="34">
        <v>7</v>
      </c>
      <c r="AB142" s="40" t="s">
        <v>283</v>
      </c>
      <c r="AC142" s="1" t="s">
        <v>174</v>
      </c>
      <c r="AD142" s="116" t="s">
        <v>219</v>
      </c>
      <c r="AE142" s="39" t="s">
        <v>80</v>
      </c>
      <c r="AF142" s="52">
        <v>18</v>
      </c>
      <c r="AG142" s="106">
        <v>18</v>
      </c>
      <c r="AH142" s="52">
        <v>2</v>
      </c>
      <c r="AI142" s="53" t="s">
        <v>137</v>
      </c>
      <c r="AJ142" s="27" t="s">
        <v>157</v>
      </c>
      <c r="AK142" s="54">
        <v>6</v>
      </c>
      <c r="AL142" s="55">
        <v>24</v>
      </c>
    </row>
    <row r="143" spans="1:38" ht="35.1" customHeight="1" x14ac:dyDescent="0.2">
      <c r="A143" s="113" t="s">
        <v>370</v>
      </c>
      <c r="B143" s="67" t="s">
        <v>6</v>
      </c>
      <c r="C143" s="114">
        <v>12</v>
      </c>
      <c r="D143" s="9"/>
      <c r="E143" s="10"/>
      <c r="F143" s="10"/>
      <c r="G143" s="10" t="s">
        <v>135</v>
      </c>
      <c r="H143" s="10"/>
      <c r="I143" s="11" t="s">
        <v>135</v>
      </c>
      <c r="J143" s="9" t="s">
        <v>135</v>
      </c>
      <c r="K143" s="10" t="s">
        <v>135</v>
      </c>
      <c r="L143" s="10" t="s">
        <v>135</v>
      </c>
      <c r="M143" s="10" t="s">
        <v>135</v>
      </c>
      <c r="N143" s="10" t="s">
        <v>135</v>
      </c>
      <c r="O143" s="10"/>
      <c r="P143" s="11"/>
      <c r="Q143" s="12">
        <v>210</v>
      </c>
      <c r="R143" s="13">
        <v>20</v>
      </c>
      <c r="S143" s="13">
        <v>10</v>
      </c>
      <c r="T143" s="13">
        <v>0</v>
      </c>
      <c r="U143" s="14" t="s">
        <v>382</v>
      </c>
      <c r="V143" s="31" t="s">
        <v>83</v>
      </c>
      <c r="W143" s="3">
        <v>2</v>
      </c>
      <c r="X143" s="32">
        <v>3</v>
      </c>
      <c r="Y143" s="2" t="s">
        <v>80</v>
      </c>
      <c r="Z143" s="33">
        <v>2</v>
      </c>
      <c r="AA143" s="34">
        <v>5</v>
      </c>
      <c r="AB143" s="40" t="s">
        <v>383</v>
      </c>
      <c r="AC143" s="1" t="s">
        <v>194</v>
      </c>
      <c r="AD143" s="116" t="s">
        <v>265</v>
      </c>
      <c r="AE143" s="39" t="s">
        <v>526</v>
      </c>
      <c r="AF143" s="52">
        <v>14</v>
      </c>
      <c r="AG143" s="106">
        <v>14</v>
      </c>
      <c r="AH143" s="52">
        <v>2</v>
      </c>
      <c r="AI143" s="53" t="s">
        <v>137</v>
      </c>
      <c r="AJ143" s="27" t="s">
        <v>194</v>
      </c>
      <c r="AK143" s="54">
        <v>2</v>
      </c>
      <c r="AL143" s="55">
        <v>12</v>
      </c>
    </row>
    <row r="144" spans="1:38" ht="35.1" customHeight="1" x14ac:dyDescent="0.2">
      <c r="A144" s="113" t="s">
        <v>444</v>
      </c>
      <c r="B144" s="67" t="s">
        <v>0</v>
      </c>
      <c r="C144" s="114">
        <v>14</v>
      </c>
      <c r="D144" s="9"/>
      <c r="E144" s="10" t="s">
        <v>135</v>
      </c>
      <c r="F144" s="10"/>
      <c r="G144" s="10"/>
      <c r="H144" s="10"/>
      <c r="I144" s="11"/>
      <c r="J144" s="9"/>
      <c r="K144" s="10"/>
      <c r="L144" s="10"/>
      <c r="M144" s="10"/>
      <c r="N144" s="10" t="s">
        <v>135</v>
      </c>
      <c r="O144" s="10"/>
      <c r="P144" s="11"/>
      <c r="Q144" s="12">
        <v>230</v>
      </c>
      <c r="R144" s="13">
        <v>60</v>
      </c>
      <c r="S144" s="13">
        <v>0</v>
      </c>
      <c r="T144" s="13">
        <v>0</v>
      </c>
      <c r="U144" s="14" t="s">
        <v>198</v>
      </c>
      <c r="V144" s="31" t="s">
        <v>83</v>
      </c>
      <c r="W144" s="3">
        <v>2</v>
      </c>
      <c r="X144" s="32">
        <v>4</v>
      </c>
      <c r="Y144" s="2" t="s">
        <v>80</v>
      </c>
      <c r="Z144" s="16">
        <v>2</v>
      </c>
      <c r="AA144" s="17">
        <v>6</v>
      </c>
      <c r="AB144" s="40" t="s">
        <v>163</v>
      </c>
      <c r="AC144" s="1" t="s">
        <v>184</v>
      </c>
      <c r="AD144" s="116" t="s">
        <v>184</v>
      </c>
      <c r="AE144" s="39" t="s">
        <v>80</v>
      </c>
      <c r="AF144" s="52">
        <v>40</v>
      </c>
      <c r="AG144" s="106">
        <v>40</v>
      </c>
      <c r="AH144" s="52">
        <v>9</v>
      </c>
      <c r="AI144" s="53">
        <v>30</v>
      </c>
      <c r="AJ144" s="27" t="s">
        <v>177</v>
      </c>
      <c r="AK144" s="54">
        <v>7</v>
      </c>
      <c r="AL144" s="55">
        <v>24</v>
      </c>
    </row>
    <row r="145" spans="1:38" ht="35.1" customHeight="1" x14ac:dyDescent="0.2">
      <c r="A145" s="113" t="s">
        <v>324</v>
      </c>
      <c r="B145" s="67" t="s">
        <v>0</v>
      </c>
      <c r="C145" s="114">
        <v>10</v>
      </c>
      <c r="D145" s="9" t="s">
        <v>135</v>
      </c>
      <c r="E145" s="10"/>
      <c r="F145" s="10"/>
      <c r="G145" s="10"/>
      <c r="H145" s="10"/>
      <c r="I145" s="11"/>
      <c r="J145" s="9" t="s">
        <v>135</v>
      </c>
      <c r="K145" s="10"/>
      <c r="L145" s="10" t="s">
        <v>135</v>
      </c>
      <c r="M145" s="10"/>
      <c r="N145" s="10"/>
      <c r="O145" s="10"/>
      <c r="P145" s="11"/>
      <c r="Q145" s="12">
        <v>390</v>
      </c>
      <c r="R145" s="13">
        <v>0</v>
      </c>
      <c r="S145" s="13">
        <v>45</v>
      </c>
      <c r="T145" s="13">
        <v>0</v>
      </c>
      <c r="U145" s="14" t="s">
        <v>297</v>
      </c>
      <c r="V145" s="31" t="s">
        <v>80</v>
      </c>
      <c r="W145" s="3">
        <v>2</v>
      </c>
      <c r="X145" s="32">
        <v>1.25</v>
      </c>
      <c r="Y145" s="2" t="s">
        <v>80</v>
      </c>
      <c r="Z145" s="16">
        <v>3</v>
      </c>
      <c r="AA145" s="17">
        <v>50</v>
      </c>
      <c r="AB145" s="40" t="s">
        <v>361</v>
      </c>
      <c r="AC145" s="1" t="s">
        <v>190</v>
      </c>
      <c r="AD145" s="116" t="s">
        <v>362</v>
      </c>
      <c r="AE145" s="2" t="s">
        <v>83</v>
      </c>
      <c r="AF145" s="52">
        <v>13</v>
      </c>
      <c r="AG145" s="106">
        <v>13</v>
      </c>
      <c r="AH145" s="52">
        <v>2</v>
      </c>
      <c r="AI145" s="53" t="s">
        <v>137</v>
      </c>
      <c r="AJ145" s="27" t="s">
        <v>177</v>
      </c>
      <c r="AK145" s="54">
        <v>8</v>
      </c>
      <c r="AL145" s="55">
        <v>12</v>
      </c>
    </row>
    <row r="146" spans="1:38" ht="35.1" customHeight="1" x14ac:dyDescent="0.2">
      <c r="A146" s="113" t="s">
        <v>9</v>
      </c>
      <c r="B146" s="67" t="s">
        <v>8</v>
      </c>
      <c r="C146" s="114">
        <v>3</v>
      </c>
      <c r="D146" s="9"/>
      <c r="E146" s="10"/>
      <c r="F146" s="10"/>
      <c r="G146" s="10" t="s">
        <v>135</v>
      </c>
      <c r="H146" s="10"/>
      <c r="I146" s="11" t="s">
        <v>135</v>
      </c>
      <c r="J146" s="9"/>
      <c r="K146" s="10" t="s">
        <v>135</v>
      </c>
      <c r="L146" s="10"/>
      <c r="M146" s="10"/>
      <c r="N146" s="10" t="s">
        <v>135</v>
      </c>
      <c r="O146" s="10"/>
      <c r="P146" s="11"/>
      <c r="Q146" s="12">
        <v>210</v>
      </c>
      <c r="R146" s="13">
        <v>20</v>
      </c>
      <c r="S146" s="13">
        <v>0</v>
      </c>
      <c r="T146" s="13">
        <v>0</v>
      </c>
      <c r="U146" s="14" t="s">
        <v>198</v>
      </c>
      <c r="V146" s="31" t="s">
        <v>83</v>
      </c>
      <c r="W146" s="3">
        <v>1</v>
      </c>
      <c r="X146" s="32">
        <v>1.25</v>
      </c>
      <c r="Y146" s="2" t="s">
        <v>385</v>
      </c>
      <c r="Z146" s="33">
        <v>8</v>
      </c>
      <c r="AA146" s="34">
        <v>40</v>
      </c>
      <c r="AB146" s="40" t="s">
        <v>284</v>
      </c>
      <c r="AC146" s="1" t="s">
        <v>156</v>
      </c>
      <c r="AD146" s="116" t="s">
        <v>156</v>
      </c>
      <c r="AE146" s="39" t="s">
        <v>526</v>
      </c>
      <c r="AF146" s="52">
        <v>51</v>
      </c>
      <c r="AG146" s="106">
        <v>51</v>
      </c>
      <c r="AH146" s="52">
        <v>7</v>
      </c>
      <c r="AI146" s="53">
        <v>30</v>
      </c>
      <c r="AJ146" s="27" t="s">
        <v>177</v>
      </c>
      <c r="AK146" s="54">
        <v>6</v>
      </c>
      <c r="AL146" s="55">
        <v>24</v>
      </c>
    </row>
    <row r="147" spans="1:38" ht="35.1" customHeight="1" x14ac:dyDescent="0.2">
      <c r="A147" s="113" t="s">
        <v>7</v>
      </c>
      <c r="B147" s="67" t="s">
        <v>6</v>
      </c>
      <c r="C147" s="114">
        <v>0</v>
      </c>
      <c r="D147" s="9" t="s">
        <v>135</v>
      </c>
      <c r="E147" s="10"/>
      <c r="F147" s="10"/>
      <c r="G147" s="10"/>
      <c r="H147" s="10"/>
      <c r="I147" s="11"/>
      <c r="J147" s="9"/>
      <c r="K147" s="10"/>
      <c r="L147" s="10" t="s">
        <v>135</v>
      </c>
      <c r="M147" s="10"/>
      <c r="N147" s="10"/>
      <c r="O147" s="10"/>
      <c r="P147" s="11"/>
      <c r="Q147" s="12">
        <v>410</v>
      </c>
      <c r="R147" s="13">
        <v>0</v>
      </c>
      <c r="S147" s="13">
        <v>0</v>
      </c>
      <c r="T147" s="13">
        <v>0</v>
      </c>
      <c r="U147" s="14" t="s">
        <v>156</v>
      </c>
      <c r="V147" s="31" t="s">
        <v>80</v>
      </c>
      <c r="W147" s="3">
        <v>2</v>
      </c>
      <c r="X147" s="32">
        <v>1.25</v>
      </c>
      <c r="Y147" s="2" t="s">
        <v>80</v>
      </c>
      <c r="Z147" s="33">
        <v>7</v>
      </c>
      <c r="AA147" s="34">
        <v>32</v>
      </c>
      <c r="AB147" s="40" t="s">
        <v>285</v>
      </c>
      <c r="AC147" s="1" t="s">
        <v>286</v>
      </c>
      <c r="AD147" s="116" t="s">
        <v>287</v>
      </c>
      <c r="AE147" s="39" t="s">
        <v>80</v>
      </c>
      <c r="AF147" s="52">
        <v>19</v>
      </c>
      <c r="AG147" s="106">
        <v>19</v>
      </c>
      <c r="AH147" s="52">
        <v>4</v>
      </c>
      <c r="AI147" s="53" t="s">
        <v>137</v>
      </c>
      <c r="AJ147" s="27" t="s">
        <v>177</v>
      </c>
      <c r="AK147" s="54">
        <v>9</v>
      </c>
      <c r="AL147" s="55">
        <v>12</v>
      </c>
    </row>
    <row r="148" spans="1:38" ht="35.1" customHeight="1" x14ac:dyDescent="0.2">
      <c r="A148" s="113" t="s">
        <v>5</v>
      </c>
      <c r="B148" s="67" t="s">
        <v>2</v>
      </c>
      <c r="C148" s="114">
        <v>0</v>
      </c>
      <c r="D148" s="9" t="s">
        <v>135</v>
      </c>
      <c r="E148" s="10"/>
      <c r="F148" s="10"/>
      <c r="G148" s="10"/>
      <c r="H148" s="10"/>
      <c r="I148" s="11"/>
      <c r="J148" s="9"/>
      <c r="K148" s="10"/>
      <c r="L148" s="10" t="s">
        <v>135</v>
      </c>
      <c r="M148" s="10"/>
      <c r="N148" s="10"/>
      <c r="O148" s="10"/>
      <c r="P148" s="11"/>
      <c r="Q148" s="12">
        <v>705</v>
      </c>
      <c r="R148" s="13">
        <v>0</v>
      </c>
      <c r="S148" s="13">
        <v>0</v>
      </c>
      <c r="T148" s="13">
        <v>0</v>
      </c>
      <c r="U148" s="14" t="s">
        <v>156</v>
      </c>
      <c r="V148" s="31" t="s">
        <v>83</v>
      </c>
      <c r="W148" s="3">
        <v>3</v>
      </c>
      <c r="X148" s="32">
        <v>3</v>
      </c>
      <c r="Y148" s="2" t="s">
        <v>80</v>
      </c>
      <c r="Z148" s="33">
        <v>2</v>
      </c>
      <c r="AA148" s="34">
        <v>30</v>
      </c>
      <c r="AB148" s="40" t="s">
        <v>214</v>
      </c>
      <c r="AC148" s="1" t="s">
        <v>194</v>
      </c>
      <c r="AD148" s="116" t="s">
        <v>255</v>
      </c>
      <c r="AE148" s="39" t="s">
        <v>80</v>
      </c>
      <c r="AF148" s="52">
        <v>14</v>
      </c>
      <c r="AG148" s="106">
        <v>14</v>
      </c>
      <c r="AH148" s="52">
        <v>3</v>
      </c>
      <c r="AI148" s="53">
        <v>15</v>
      </c>
      <c r="AJ148" s="27" t="s">
        <v>162</v>
      </c>
      <c r="AK148" s="54">
        <v>3</v>
      </c>
      <c r="AL148" s="55">
        <v>36</v>
      </c>
    </row>
    <row r="149" spans="1:38" ht="35.1" customHeight="1" x14ac:dyDescent="0.2">
      <c r="A149" s="113" t="s">
        <v>445</v>
      </c>
      <c r="B149" s="67" t="s">
        <v>6</v>
      </c>
      <c r="C149" s="114">
        <v>15</v>
      </c>
      <c r="D149" s="9" t="s">
        <v>135</v>
      </c>
      <c r="E149" s="10"/>
      <c r="F149" s="10" t="s">
        <v>135</v>
      </c>
      <c r="G149" s="10"/>
      <c r="H149" s="10"/>
      <c r="I149" s="11"/>
      <c r="J149" s="9"/>
      <c r="K149" s="10"/>
      <c r="L149" s="10" t="s">
        <v>135</v>
      </c>
      <c r="M149" s="10"/>
      <c r="N149" s="10"/>
      <c r="O149" s="10"/>
      <c r="P149" s="11" t="s">
        <v>135</v>
      </c>
      <c r="Q149" s="12">
        <v>310</v>
      </c>
      <c r="R149" s="13">
        <v>0</v>
      </c>
      <c r="S149" s="13">
        <v>0</v>
      </c>
      <c r="T149" s="13">
        <v>0</v>
      </c>
      <c r="U149" s="14" t="s">
        <v>300</v>
      </c>
      <c r="V149" s="31" t="s">
        <v>80</v>
      </c>
      <c r="W149" s="3">
        <v>1</v>
      </c>
      <c r="X149" s="32">
        <v>1</v>
      </c>
      <c r="Y149" s="2" t="s">
        <v>80</v>
      </c>
      <c r="Z149" s="16">
        <v>1</v>
      </c>
      <c r="AA149" s="17">
        <v>6</v>
      </c>
      <c r="AB149" s="40" t="s">
        <v>163</v>
      </c>
      <c r="AC149" s="1" t="s">
        <v>169</v>
      </c>
      <c r="AD149" s="116" t="s">
        <v>169</v>
      </c>
      <c r="AE149" s="39" t="s">
        <v>83</v>
      </c>
      <c r="AF149" s="52">
        <v>15</v>
      </c>
      <c r="AG149" s="106">
        <v>15</v>
      </c>
      <c r="AH149" s="52">
        <v>1.5</v>
      </c>
      <c r="AI149" s="53" t="s">
        <v>137</v>
      </c>
      <c r="AJ149" s="27" t="s">
        <v>174</v>
      </c>
      <c r="AK149" s="54">
        <v>4</v>
      </c>
      <c r="AL149" s="55">
        <v>12</v>
      </c>
    </row>
    <row r="150" spans="1:38" ht="35.1" customHeight="1" x14ac:dyDescent="0.2">
      <c r="A150" s="113" t="s">
        <v>4</v>
      </c>
      <c r="B150" s="67" t="s">
        <v>2</v>
      </c>
      <c r="C150" s="114">
        <v>0</v>
      </c>
      <c r="D150" s="9" t="s">
        <v>135</v>
      </c>
      <c r="E150" s="10"/>
      <c r="F150" s="10"/>
      <c r="G150" s="10"/>
      <c r="H150" s="10"/>
      <c r="I150" s="11"/>
      <c r="J150" s="9"/>
      <c r="K150" s="10"/>
      <c r="L150" s="10"/>
      <c r="M150" s="10"/>
      <c r="N150" s="10" t="s">
        <v>135</v>
      </c>
      <c r="O150" s="10"/>
      <c r="P150" s="11"/>
      <c r="Q150" s="12">
        <v>780</v>
      </c>
      <c r="R150" s="13">
        <v>40</v>
      </c>
      <c r="S150" s="13">
        <v>0</v>
      </c>
      <c r="T150" s="13">
        <v>0</v>
      </c>
      <c r="U150" s="14" t="s">
        <v>188</v>
      </c>
      <c r="V150" s="31" t="s">
        <v>83</v>
      </c>
      <c r="W150" s="3">
        <v>3</v>
      </c>
      <c r="X150" s="32">
        <v>5</v>
      </c>
      <c r="Y150" s="2" t="s">
        <v>384</v>
      </c>
      <c r="Z150" s="33">
        <v>3</v>
      </c>
      <c r="AA150" s="34">
        <v>6</v>
      </c>
      <c r="AB150" s="40" t="s">
        <v>191</v>
      </c>
      <c r="AC150" s="1" t="s">
        <v>178</v>
      </c>
      <c r="AD150" s="116" t="s">
        <v>225</v>
      </c>
      <c r="AE150" s="39" t="s">
        <v>80</v>
      </c>
      <c r="AF150" s="52">
        <v>41</v>
      </c>
      <c r="AG150" s="106">
        <v>41</v>
      </c>
      <c r="AH150" s="52">
        <v>10</v>
      </c>
      <c r="AI150" s="53" t="s">
        <v>252</v>
      </c>
      <c r="AJ150" s="27" t="s">
        <v>177</v>
      </c>
      <c r="AK150" s="54">
        <v>9</v>
      </c>
      <c r="AL150" s="55">
        <v>60</v>
      </c>
    </row>
    <row r="151" spans="1:38" ht="35.1" customHeight="1" x14ac:dyDescent="0.2">
      <c r="A151" s="113" t="s">
        <v>3</v>
      </c>
      <c r="B151" s="67" t="s">
        <v>2</v>
      </c>
      <c r="C151" s="114">
        <v>0</v>
      </c>
      <c r="D151" s="9" t="s">
        <v>135</v>
      </c>
      <c r="E151" s="10"/>
      <c r="F151" s="10"/>
      <c r="G151" s="10"/>
      <c r="H151" s="10"/>
      <c r="I151" s="11"/>
      <c r="J151" s="9"/>
      <c r="K151" s="10"/>
      <c r="L151" s="10"/>
      <c r="M151" s="10"/>
      <c r="N151" s="10" t="s">
        <v>135</v>
      </c>
      <c r="O151" s="10"/>
      <c r="P151" s="11"/>
      <c r="Q151" s="12">
        <v>780</v>
      </c>
      <c r="R151" s="13">
        <v>80</v>
      </c>
      <c r="S151" s="13">
        <v>0</v>
      </c>
      <c r="T151" s="13">
        <v>0</v>
      </c>
      <c r="U151" s="14" t="s">
        <v>188</v>
      </c>
      <c r="V151" s="31" t="s">
        <v>83</v>
      </c>
      <c r="W151" s="3">
        <v>3</v>
      </c>
      <c r="X151" s="32">
        <v>5</v>
      </c>
      <c r="Y151" s="2" t="s">
        <v>384</v>
      </c>
      <c r="Z151" s="33">
        <v>5</v>
      </c>
      <c r="AA151" s="34">
        <v>15</v>
      </c>
      <c r="AB151" s="40" t="s">
        <v>232</v>
      </c>
      <c r="AC151" s="1" t="s">
        <v>258</v>
      </c>
      <c r="AD151" s="116" t="s">
        <v>288</v>
      </c>
      <c r="AE151" s="39" t="s">
        <v>80</v>
      </c>
      <c r="AF151" s="52">
        <v>51</v>
      </c>
      <c r="AG151" s="106">
        <v>51</v>
      </c>
      <c r="AH151" s="52">
        <v>14</v>
      </c>
      <c r="AI151" s="53">
        <v>50</v>
      </c>
      <c r="AJ151" s="27" t="s">
        <v>177</v>
      </c>
      <c r="AK151" s="54">
        <v>8</v>
      </c>
      <c r="AL151" s="55">
        <v>60</v>
      </c>
    </row>
    <row r="152" spans="1:38" ht="35.1" customHeight="1" x14ac:dyDescent="0.2">
      <c r="A152" s="113" t="s">
        <v>325</v>
      </c>
      <c r="B152" s="67" t="s">
        <v>0</v>
      </c>
      <c r="C152" s="114">
        <v>10</v>
      </c>
      <c r="D152" s="9"/>
      <c r="E152" s="10" t="s">
        <v>135</v>
      </c>
      <c r="F152" s="10"/>
      <c r="G152" s="10"/>
      <c r="H152" s="10"/>
      <c r="I152" s="11"/>
      <c r="J152" s="9" t="s">
        <v>135</v>
      </c>
      <c r="K152" s="10"/>
      <c r="L152" s="10" t="s">
        <v>135</v>
      </c>
      <c r="M152" s="10"/>
      <c r="N152" s="10" t="s">
        <v>135</v>
      </c>
      <c r="O152" s="10"/>
      <c r="P152" s="11"/>
      <c r="Q152" s="12">
        <v>570</v>
      </c>
      <c r="R152" s="13">
        <v>0</v>
      </c>
      <c r="S152" s="13">
        <v>20</v>
      </c>
      <c r="T152" s="13">
        <v>0</v>
      </c>
      <c r="U152" s="14" t="s">
        <v>259</v>
      </c>
      <c r="V152" s="31" t="s">
        <v>80</v>
      </c>
      <c r="W152" s="3">
        <v>3</v>
      </c>
      <c r="X152" s="32">
        <v>1.25</v>
      </c>
      <c r="Y152" s="2" t="s">
        <v>80</v>
      </c>
      <c r="Z152" s="16">
        <v>3</v>
      </c>
      <c r="AA152" s="17">
        <v>30</v>
      </c>
      <c r="AB152" s="40" t="s">
        <v>214</v>
      </c>
      <c r="AC152" s="1" t="s">
        <v>190</v>
      </c>
      <c r="AD152" s="116" t="s">
        <v>215</v>
      </c>
      <c r="AE152" s="2" t="s">
        <v>80</v>
      </c>
      <c r="AF152" s="52">
        <v>25</v>
      </c>
      <c r="AG152" s="106">
        <v>25</v>
      </c>
      <c r="AH152" s="52">
        <v>3</v>
      </c>
      <c r="AI152" s="53">
        <v>20</v>
      </c>
      <c r="AJ152" s="27" t="s">
        <v>177</v>
      </c>
      <c r="AK152" s="54">
        <v>10</v>
      </c>
      <c r="AL152" s="55">
        <v>24</v>
      </c>
    </row>
    <row r="153" spans="1:38" ht="35.1" customHeight="1" x14ac:dyDescent="0.2">
      <c r="A153" s="113" t="s">
        <v>480</v>
      </c>
      <c r="B153" s="67" t="s">
        <v>6</v>
      </c>
      <c r="C153" s="114">
        <v>17</v>
      </c>
      <c r="D153" s="9" t="s">
        <v>135</v>
      </c>
      <c r="E153" s="10" t="s">
        <v>135</v>
      </c>
      <c r="F153" s="10" t="s">
        <v>135</v>
      </c>
      <c r="G153" s="10"/>
      <c r="H153" s="10"/>
      <c r="I153" s="11"/>
      <c r="J153" s="9"/>
      <c r="K153" s="10" t="s">
        <v>135</v>
      </c>
      <c r="L153" s="10" t="s">
        <v>135</v>
      </c>
      <c r="M153" s="10" t="s">
        <v>135</v>
      </c>
      <c r="N153" s="10" t="s">
        <v>135</v>
      </c>
      <c r="O153" s="10"/>
      <c r="P153" s="11" t="s">
        <v>135</v>
      </c>
      <c r="Q153" s="12">
        <v>310</v>
      </c>
      <c r="R153" s="13">
        <v>0</v>
      </c>
      <c r="S153" s="13">
        <v>0</v>
      </c>
      <c r="T153" s="13">
        <v>0</v>
      </c>
      <c r="U153" s="14" t="s">
        <v>396</v>
      </c>
      <c r="V153" s="31" t="s">
        <v>80</v>
      </c>
      <c r="W153" s="3">
        <v>3</v>
      </c>
      <c r="X153" s="32">
        <v>1.25</v>
      </c>
      <c r="Y153" s="2" t="s">
        <v>80</v>
      </c>
      <c r="Z153" s="16">
        <v>3</v>
      </c>
      <c r="AA153" s="17">
        <v>30</v>
      </c>
      <c r="AB153" s="40" t="s">
        <v>214</v>
      </c>
      <c r="AC153" s="1" t="s">
        <v>498</v>
      </c>
      <c r="AD153" s="116" t="s">
        <v>215</v>
      </c>
      <c r="AE153" s="39" t="s">
        <v>80</v>
      </c>
      <c r="AF153" s="52">
        <v>20</v>
      </c>
      <c r="AG153" s="106">
        <v>20</v>
      </c>
      <c r="AH153" s="52">
        <v>1</v>
      </c>
      <c r="AI153" s="53">
        <v>12</v>
      </c>
      <c r="AJ153" s="27" t="s">
        <v>164</v>
      </c>
      <c r="AK153" s="54">
        <v>3</v>
      </c>
      <c r="AL153" s="55">
        <v>12</v>
      </c>
    </row>
    <row r="154" spans="1:38" ht="35.1" customHeight="1" x14ac:dyDescent="0.2">
      <c r="A154" s="113" t="s">
        <v>479</v>
      </c>
      <c r="B154" s="67" t="s">
        <v>17</v>
      </c>
      <c r="C154" s="114">
        <v>17</v>
      </c>
      <c r="D154" s="9"/>
      <c r="E154" s="10"/>
      <c r="F154" s="10" t="s">
        <v>135</v>
      </c>
      <c r="G154" s="10"/>
      <c r="H154" s="10"/>
      <c r="I154" s="11"/>
      <c r="J154" s="9"/>
      <c r="K154" s="10" t="s">
        <v>135</v>
      </c>
      <c r="L154" s="10" t="s">
        <v>135</v>
      </c>
      <c r="M154" s="10" t="s">
        <v>135</v>
      </c>
      <c r="N154" s="10"/>
      <c r="O154" s="10"/>
      <c r="P154" s="11"/>
      <c r="Q154" s="12">
        <v>420</v>
      </c>
      <c r="R154" s="13">
        <v>0</v>
      </c>
      <c r="S154" s="13">
        <v>0</v>
      </c>
      <c r="T154" s="13">
        <v>0</v>
      </c>
      <c r="U154" s="14" t="s">
        <v>331</v>
      </c>
      <c r="V154" s="31" t="s">
        <v>80</v>
      </c>
      <c r="W154" s="3">
        <v>3</v>
      </c>
      <c r="X154" s="32">
        <v>1.25</v>
      </c>
      <c r="Y154" s="2" t="s">
        <v>80</v>
      </c>
      <c r="Z154" s="16">
        <v>2</v>
      </c>
      <c r="AA154" s="17">
        <v>13</v>
      </c>
      <c r="AB154" s="40" t="s">
        <v>426</v>
      </c>
      <c r="AC154" s="1" t="s">
        <v>175</v>
      </c>
      <c r="AD154" s="116" t="s">
        <v>427</v>
      </c>
      <c r="AE154" s="39" t="s">
        <v>80</v>
      </c>
      <c r="AF154" s="52">
        <v>21</v>
      </c>
      <c r="AG154" s="106">
        <v>21</v>
      </c>
      <c r="AH154" s="52">
        <v>3</v>
      </c>
      <c r="AI154" s="53">
        <v>20</v>
      </c>
      <c r="AJ154" s="27" t="s">
        <v>177</v>
      </c>
      <c r="AK154" s="54">
        <v>9</v>
      </c>
      <c r="AL154" s="55">
        <v>24</v>
      </c>
    </row>
    <row r="155" spans="1:38" ht="35.1" customHeight="1" x14ac:dyDescent="0.2">
      <c r="A155" s="112" t="s">
        <v>1</v>
      </c>
      <c r="B155" s="67" t="s">
        <v>0</v>
      </c>
      <c r="C155" s="114">
        <v>1</v>
      </c>
      <c r="D155" s="9" t="s">
        <v>135</v>
      </c>
      <c r="E155" s="10"/>
      <c r="F155" s="10"/>
      <c r="G155" s="10"/>
      <c r="H155" s="10"/>
      <c r="I155" s="11"/>
      <c r="J155" s="9" t="s">
        <v>135</v>
      </c>
      <c r="K155" s="10"/>
      <c r="L155" s="10"/>
      <c r="M155" s="10"/>
      <c r="N155" s="10" t="s">
        <v>135</v>
      </c>
      <c r="O155" s="10"/>
      <c r="P155" s="11"/>
      <c r="Q155" s="12">
        <v>270</v>
      </c>
      <c r="R155" s="13">
        <v>0</v>
      </c>
      <c r="S155" s="13">
        <v>270</v>
      </c>
      <c r="T155" s="13">
        <v>0</v>
      </c>
      <c r="U155" s="14" t="s">
        <v>198</v>
      </c>
      <c r="V155" s="31" t="s">
        <v>80</v>
      </c>
      <c r="W155" s="3">
        <v>3</v>
      </c>
      <c r="X155" s="32">
        <v>1</v>
      </c>
      <c r="Y155" s="2" t="s">
        <v>80</v>
      </c>
      <c r="Z155" s="33">
        <v>2</v>
      </c>
      <c r="AA155" s="34">
        <v>4</v>
      </c>
      <c r="AB155" s="40" t="s">
        <v>173</v>
      </c>
      <c r="AC155" s="1" t="s">
        <v>194</v>
      </c>
      <c r="AD155" s="116" t="s">
        <v>194</v>
      </c>
      <c r="AE155" s="39" t="s">
        <v>80</v>
      </c>
      <c r="AF155" s="52">
        <v>30</v>
      </c>
      <c r="AG155" s="106">
        <v>30</v>
      </c>
      <c r="AH155" s="52">
        <v>4.5</v>
      </c>
      <c r="AI155" s="53" t="s">
        <v>137</v>
      </c>
      <c r="AJ155" s="27" t="s">
        <v>177</v>
      </c>
      <c r="AK155" s="54">
        <v>7</v>
      </c>
      <c r="AL155" s="55">
        <v>12</v>
      </c>
    </row>
    <row r="156" spans="1:38" ht="35.1" customHeight="1" x14ac:dyDescent="0.2">
      <c r="A156" s="112" t="s">
        <v>322</v>
      </c>
      <c r="B156" s="67" t="s">
        <v>8</v>
      </c>
      <c r="C156" s="114">
        <v>10</v>
      </c>
      <c r="D156" s="9"/>
      <c r="E156" s="10" t="s">
        <v>135</v>
      </c>
      <c r="F156" s="10"/>
      <c r="G156" s="10"/>
      <c r="H156" s="10"/>
      <c r="I156" s="11"/>
      <c r="J156" s="9" t="s">
        <v>135</v>
      </c>
      <c r="K156" s="10"/>
      <c r="L156" s="10" t="s">
        <v>135</v>
      </c>
      <c r="M156" s="10"/>
      <c r="N156" s="10" t="s">
        <v>135</v>
      </c>
      <c r="O156" s="10"/>
      <c r="P156" s="11"/>
      <c r="Q156" s="12">
        <v>210</v>
      </c>
      <c r="R156" s="13">
        <v>0</v>
      </c>
      <c r="S156" s="13">
        <v>84</v>
      </c>
      <c r="T156" s="13">
        <v>56</v>
      </c>
      <c r="U156" s="14" t="s">
        <v>259</v>
      </c>
      <c r="V156" s="31" t="s">
        <v>80</v>
      </c>
      <c r="W156" s="3">
        <v>2</v>
      </c>
      <c r="X156" s="32">
        <v>1</v>
      </c>
      <c r="Y156" s="2" t="s">
        <v>80</v>
      </c>
      <c r="Z156" s="16">
        <v>2</v>
      </c>
      <c r="AA156" s="17">
        <v>16</v>
      </c>
      <c r="AB156" s="40" t="s">
        <v>363</v>
      </c>
      <c r="AC156" s="1" t="s">
        <v>347</v>
      </c>
      <c r="AD156" s="116" t="s">
        <v>184</v>
      </c>
      <c r="AE156" s="2" t="s">
        <v>83</v>
      </c>
      <c r="AF156" s="52">
        <v>14</v>
      </c>
      <c r="AG156" s="106">
        <v>14</v>
      </c>
      <c r="AH156" s="52">
        <v>2</v>
      </c>
      <c r="AI156" s="53" t="s">
        <v>137</v>
      </c>
      <c r="AJ156" s="27" t="s">
        <v>162</v>
      </c>
      <c r="AK156" s="54">
        <v>2</v>
      </c>
      <c r="AL156" s="55">
        <v>12</v>
      </c>
    </row>
    <row r="157" spans="1:38" ht="35.1" customHeight="1" thickBot="1" x14ac:dyDescent="0.25">
      <c r="A157" s="119" t="s">
        <v>446</v>
      </c>
      <c r="B157" s="69" t="s">
        <v>6</v>
      </c>
      <c r="C157" s="115">
        <v>16</v>
      </c>
      <c r="D157" s="42"/>
      <c r="E157" s="43"/>
      <c r="F157" s="43"/>
      <c r="G157" s="43"/>
      <c r="H157" s="43" t="s">
        <v>135</v>
      </c>
      <c r="I157" s="44"/>
      <c r="J157" s="42" t="s">
        <v>135</v>
      </c>
      <c r="K157" s="43" t="s">
        <v>135</v>
      </c>
      <c r="L157" s="43" t="s">
        <v>135</v>
      </c>
      <c r="M157" s="43"/>
      <c r="N157" s="43"/>
      <c r="O157" s="43"/>
      <c r="P157" s="44"/>
      <c r="Q157" s="72">
        <v>180</v>
      </c>
      <c r="R157" s="73">
        <v>0</v>
      </c>
      <c r="S157" s="73">
        <v>60</v>
      </c>
      <c r="T157" s="73">
        <v>35</v>
      </c>
      <c r="U157" s="74" t="s">
        <v>333</v>
      </c>
      <c r="V157" s="75" t="s">
        <v>80</v>
      </c>
      <c r="W157" s="76">
        <v>1</v>
      </c>
      <c r="X157" s="77">
        <v>1</v>
      </c>
      <c r="Y157" s="78" t="s">
        <v>80</v>
      </c>
      <c r="Z157" s="79">
        <v>6</v>
      </c>
      <c r="AA157" s="80">
        <v>500</v>
      </c>
      <c r="AB157" s="84" t="s">
        <v>250</v>
      </c>
      <c r="AC157" s="81" t="s">
        <v>251</v>
      </c>
      <c r="AD157" s="117" t="s">
        <v>251</v>
      </c>
      <c r="AE157" s="97" t="s">
        <v>83</v>
      </c>
      <c r="AF157" s="82">
        <v>20</v>
      </c>
      <c r="AG157" s="107">
        <v>20</v>
      </c>
      <c r="AH157" s="82">
        <v>3</v>
      </c>
      <c r="AI157" s="83">
        <v>10</v>
      </c>
      <c r="AJ157" s="46" t="s">
        <v>159</v>
      </c>
      <c r="AK157" s="56">
        <v>1</v>
      </c>
      <c r="AL157" s="57">
        <v>12</v>
      </c>
    </row>
    <row r="158" spans="1:38" ht="4.5" customHeight="1" thickTop="1" x14ac:dyDescent="0.2"/>
  </sheetData>
  <sheetProtection autoFilter="0"/>
  <autoFilter ref="A4:AM157" xr:uid="{ECC60EA3-986F-4708-8285-682D7FA2109D}">
    <sortState xmlns:xlrd2="http://schemas.microsoft.com/office/spreadsheetml/2017/richdata2" ref="A22:AM157">
      <sortCondition ref="A4:A157"/>
    </sortState>
  </autoFilter>
  <sortState xmlns:xlrd2="http://schemas.microsoft.com/office/spreadsheetml/2017/richdata2" ref="A5:AL157">
    <sortCondition ref="A5:A157"/>
  </sortState>
  <mergeCells count="11">
    <mergeCell ref="V2:Y3"/>
    <mergeCell ref="AH2:AL3"/>
    <mergeCell ref="A1:AL1"/>
    <mergeCell ref="Z2:AE3"/>
    <mergeCell ref="A2:A4"/>
    <mergeCell ref="B2:B4"/>
    <mergeCell ref="J2:P2"/>
    <mergeCell ref="D2:I3"/>
    <mergeCell ref="Q2:U3"/>
    <mergeCell ref="C2:C4"/>
    <mergeCell ref="AF2:AG3"/>
  </mergeCells>
  <conditionalFormatting sqref="A5:A157">
    <cfRule type="duplicateValues" dxfId="32" priority="2"/>
  </conditionalFormatting>
  <conditionalFormatting sqref="C5:P157">
    <cfRule type="cellIs" dxfId="23" priority="3" operator="equal">
      <formula>"X"</formula>
    </cfRule>
  </conditionalFormatting>
  <conditionalFormatting sqref="Q5:U157">
    <cfRule type="cellIs" dxfId="22" priority="5" operator="equal">
      <formula>0</formula>
    </cfRule>
  </conditionalFormatting>
  <conditionalFormatting sqref="V5:V157">
    <cfRule type="cellIs" dxfId="21" priority="66" operator="equal">
      <formula>"Nein"</formula>
    </cfRule>
    <cfRule type="cellIs" dxfId="20" priority="67" operator="equal">
      <formula>"Ja"</formula>
    </cfRule>
  </conditionalFormatting>
  <conditionalFormatting sqref="Y5:Y157">
    <cfRule type="cellIs" dxfId="19" priority="65" operator="equal">
      <formula>"Nein"</formula>
    </cfRule>
  </conditionalFormatting>
  <conditionalFormatting sqref="AE5:AE157">
    <cfRule type="cellIs" dxfId="18" priority="1" operator="equal">
      <formula>"Ja+"</formula>
    </cfRule>
    <cfRule type="cellIs" dxfId="17" priority="61" operator="equal">
      <formula>"Ja"</formula>
    </cfRule>
  </conditionalFormatting>
  <conditionalFormatting sqref="AI5:AI157">
    <cfRule type="cellIs" dxfId="15" priority="62" operator="notEqual">
      <formula>"Tod"</formula>
    </cfRule>
  </conditionalFormatting>
  <pageMargins left="0.7" right="0.7" top="0.78740157499999996" bottom="0.78740157499999996" header="0.3" footer="0.3"/>
  <pageSetup paperSize="9" scale="41" fitToHeight="0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8" operator="equal" id="{4E119EE2-9EC4-43F8-9770-F102EF60EBA0}">
            <xm:f>Gefährdungslevel!$H$1</xm:f>
            <x14:dxf>
              <font>
                <b/>
                <i val="0"/>
                <color theme="0"/>
              </font>
              <fill>
                <patternFill>
                  <bgColor rgb="FF6C8591"/>
                </patternFill>
              </fill>
            </x14:dxf>
          </x14:cfRule>
          <x14:cfRule type="cellIs" priority="49" operator="equal" id="{D5DCB46B-17FF-494A-99B8-78B8BE74A07E}">
            <xm:f>Gefährdungslevel!$G$1</xm:f>
            <x14:dxf>
              <font>
                <b/>
                <i val="0"/>
                <color theme="0"/>
              </font>
              <fill>
                <patternFill>
                  <bgColor rgb="FF066C53"/>
                </patternFill>
              </fill>
            </x14:dxf>
          </x14:cfRule>
          <x14:cfRule type="cellIs" priority="50" operator="equal" id="{3AE8324B-3AC2-48B2-BD59-DA99A8031E1C}">
            <xm:f>Gefährdungslevel!$F$1</xm:f>
            <x14:dxf>
              <font>
                <b/>
                <i val="0"/>
                <color theme="0"/>
              </font>
              <fill>
                <patternFill>
                  <bgColor rgb="FF098B6D"/>
                </patternFill>
              </fill>
            </x14:dxf>
          </x14:cfRule>
          <x14:cfRule type="cellIs" priority="51" operator="equal" id="{D737A8D1-27E2-4107-BDFC-1F65C7D9D0AB}">
            <xm:f>Gefährdungslevel!$E$1</xm:f>
            <x14:dxf>
              <font>
                <b/>
                <i val="0"/>
                <color theme="0"/>
              </font>
              <fill>
                <patternFill>
                  <bgColor rgb="FF71BC4A"/>
                </patternFill>
              </fill>
            </x14:dxf>
          </x14:cfRule>
          <x14:cfRule type="cellIs" priority="52" operator="equal" id="{06C1B446-CD93-45B5-847F-F0B286D0F89D}">
            <xm:f>Gefährdungslevel!$D$1</xm:f>
            <x14:dxf>
              <font>
                <b/>
                <i val="0"/>
                <color theme="0"/>
              </font>
              <fill>
                <patternFill>
                  <bgColor rgb="FFFFB612"/>
                </patternFill>
              </fill>
            </x14:dxf>
          </x14:cfRule>
          <x14:cfRule type="cellIs" priority="53" operator="equal" id="{B525EAB0-637E-4FF9-AF95-3C9D89CC96B6}">
            <xm:f>Gefährdungslevel!$C$1</xm:f>
            <x14:dxf>
              <font>
                <b/>
                <i val="0"/>
                <color theme="0"/>
              </font>
              <fill>
                <patternFill>
                  <bgColor rgb="FFFF7E13"/>
                </patternFill>
              </fill>
            </x14:dxf>
          </x14:cfRule>
          <x14:cfRule type="cellIs" priority="54" operator="equal" id="{7D3D08C8-35D1-4693-8EAD-B4BB6E6AA21C}">
            <xm:f>Gefährdungslevel!$B$1</xm:f>
            <x14:dxf>
              <font>
                <b/>
                <i val="0"/>
                <color theme="0"/>
              </font>
              <fill>
                <patternFill>
                  <bgColor rgb="FFD3313D"/>
                </patternFill>
              </fill>
            </x14:dxf>
          </x14:cfRule>
          <x14:cfRule type="cellIs" priority="55" operator="equal" id="{CB536A7D-7299-4C56-91E6-3415BB277748}">
            <xm:f>Gefährdungslevel!$A$1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</x14:dxf>
          </x14:cfRule>
          <xm:sqref>B5:B157</xm:sqref>
        </x14:conditionalFormatting>
        <x14:conditionalFormatting xmlns:xm="http://schemas.microsoft.com/office/excel/2006/main">
          <x14:cfRule type="containsText" priority="27" operator="containsText" id="{1A66A223-6D02-40E6-8469-FD653C2B8259}">
            <xm:f>NOT(ISERROR(SEARCH("Unbekannt",AH5)))</xm:f>
            <xm:f>"Unbekannt"</xm:f>
            <x14:dxf>
              <font>
                <color rgb="FFFF0000"/>
              </font>
              <fill>
                <patternFill>
                  <bgColor rgb="FFEAEAEA"/>
                </patternFill>
              </fill>
            </x14:dxf>
          </x14:cfRule>
          <xm:sqref>AH5:AH157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F633B7-B141-4706-8E08-8C9C89B873A9}">
          <x14:formula1>
            <xm:f>Gefährdungslevel!$A$1:$H$1</xm:f>
          </x14:formula1>
          <xm:sqref>B5:B157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B1FE-5812-476F-BBE0-E071A5AA1F8A}">
  <sheetPr>
    <tabColor rgb="FF666699"/>
    <pageSetUpPr fitToPage="1"/>
  </sheetPr>
  <dimension ref="A1:AA47"/>
  <sheetViews>
    <sheetView zoomScale="75" zoomScaleNormal="75" workbookViewId="0">
      <pane ySplit="4" topLeftCell="A5" activePane="bottomLeft" state="frozen"/>
      <selection pane="bottomLeft" sqref="A1:Z1"/>
    </sheetView>
  </sheetViews>
  <sheetFormatPr baseColWidth="10" defaultColWidth="0" defaultRowHeight="15" zeroHeight="1" x14ac:dyDescent="0.2"/>
  <cols>
    <col min="1" max="1" width="18.77734375" customWidth="1"/>
    <col min="2" max="2" width="6.77734375" customWidth="1"/>
    <col min="3" max="3" width="5.77734375" customWidth="1"/>
    <col min="4" max="16" width="3.77734375" customWidth="1"/>
    <col min="17" max="18" width="9.77734375" customWidth="1"/>
    <col min="19" max="19" width="10.77734375" customWidth="1"/>
    <col min="20" max="21" width="9.77734375" customWidth="1"/>
    <col min="22" max="22" width="11.77734375" customWidth="1"/>
    <col min="23" max="23" width="10.77734375" customWidth="1"/>
    <col min="24" max="24" width="8.77734375" customWidth="1"/>
    <col min="25" max="25" width="9.77734375" customWidth="1"/>
    <col min="26" max="26" width="10.77734375" customWidth="1"/>
    <col min="27" max="27" width="0.88671875" customWidth="1"/>
    <col min="28" max="16384" width="11.5546875" hidden="1"/>
  </cols>
  <sheetData>
    <row r="1" spans="1:26" s="5" customFormat="1" ht="30" customHeight="1" thickTop="1" thickBot="1" x14ac:dyDescent="0.25">
      <c r="A1" s="236" t="s">
        <v>134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8"/>
    </row>
    <row r="2" spans="1:26" ht="20.100000000000001" customHeight="1" thickTop="1" thickBot="1" x14ac:dyDescent="0.25">
      <c r="A2" s="239" t="s">
        <v>106</v>
      </c>
      <c r="B2" s="242" t="s">
        <v>464</v>
      </c>
      <c r="C2" s="258" t="s">
        <v>291</v>
      </c>
      <c r="D2" s="246" t="s">
        <v>471</v>
      </c>
      <c r="E2" s="247"/>
      <c r="F2" s="247"/>
      <c r="G2" s="247"/>
      <c r="H2" s="247"/>
      <c r="I2" s="248"/>
      <c r="J2" s="245" t="s">
        <v>146</v>
      </c>
      <c r="K2" s="245"/>
      <c r="L2" s="245"/>
      <c r="M2" s="245"/>
      <c r="N2" s="245"/>
      <c r="O2" s="245"/>
      <c r="P2" s="245"/>
      <c r="Q2" s="252" t="s">
        <v>470</v>
      </c>
      <c r="R2" s="253"/>
      <c r="S2" s="243" t="s">
        <v>208</v>
      </c>
      <c r="T2" s="260" t="s">
        <v>465</v>
      </c>
      <c r="U2" s="261"/>
      <c r="V2" s="247" t="s">
        <v>136</v>
      </c>
      <c r="W2" s="247"/>
      <c r="X2" s="247"/>
      <c r="Y2" s="247"/>
      <c r="Z2" s="256"/>
    </row>
    <row r="3" spans="1:26" ht="24" customHeight="1" thickBot="1" x14ac:dyDescent="0.25">
      <c r="A3" s="240"/>
      <c r="B3" s="243"/>
      <c r="C3" s="243"/>
      <c r="D3" s="249"/>
      <c r="E3" s="250"/>
      <c r="F3" s="250"/>
      <c r="G3" s="250"/>
      <c r="H3" s="250"/>
      <c r="I3" s="251"/>
      <c r="J3" s="96"/>
      <c r="K3" s="96"/>
      <c r="L3" s="96"/>
      <c r="M3" s="96"/>
      <c r="N3" s="96"/>
      <c r="O3" s="96"/>
      <c r="P3" s="96"/>
      <c r="Q3" s="254"/>
      <c r="R3" s="255"/>
      <c r="S3" s="245"/>
      <c r="T3" s="262"/>
      <c r="U3" s="263"/>
      <c r="V3" s="250"/>
      <c r="W3" s="250"/>
      <c r="X3" s="250"/>
      <c r="Y3" s="250"/>
      <c r="Z3" s="257"/>
    </row>
    <row r="4" spans="1:26" ht="39.950000000000003" customHeight="1" thickBot="1" x14ac:dyDescent="0.25">
      <c r="A4" s="241"/>
      <c r="B4" s="244"/>
      <c r="C4" s="259"/>
      <c r="D4" s="188" t="s">
        <v>104</v>
      </c>
      <c r="E4" s="189" t="s">
        <v>103</v>
      </c>
      <c r="F4" s="189" t="s">
        <v>102</v>
      </c>
      <c r="G4" s="189" t="s">
        <v>101</v>
      </c>
      <c r="H4" s="189" t="s">
        <v>451</v>
      </c>
      <c r="I4" s="190" t="s">
        <v>100</v>
      </c>
      <c r="J4" s="188" t="s">
        <v>99</v>
      </c>
      <c r="K4" s="189" t="s">
        <v>98</v>
      </c>
      <c r="L4" s="189" t="s">
        <v>97</v>
      </c>
      <c r="M4" s="189" t="s">
        <v>96</v>
      </c>
      <c r="N4" s="189" t="s">
        <v>95</v>
      </c>
      <c r="O4" s="189" t="s">
        <v>94</v>
      </c>
      <c r="P4" s="190" t="s">
        <v>93</v>
      </c>
      <c r="Q4" s="191" t="s">
        <v>86</v>
      </c>
      <c r="R4" s="192" t="s">
        <v>240</v>
      </c>
      <c r="S4" s="193" t="s">
        <v>84</v>
      </c>
      <c r="T4" s="194" t="s">
        <v>466</v>
      </c>
      <c r="U4" s="195" t="s">
        <v>467</v>
      </c>
      <c r="V4" s="196" t="s">
        <v>450</v>
      </c>
      <c r="W4" s="196" t="s">
        <v>92</v>
      </c>
      <c r="X4" s="196" t="s">
        <v>298</v>
      </c>
      <c r="Y4" s="196" t="s">
        <v>91</v>
      </c>
      <c r="Z4" s="197" t="s">
        <v>449</v>
      </c>
    </row>
    <row r="5" spans="1:26" ht="35.1" customHeight="1" thickTop="1" x14ac:dyDescent="0.2">
      <c r="A5" s="185" t="s">
        <v>133</v>
      </c>
      <c r="B5" s="186" t="s">
        <v>6</v>
      </c>
      <c r="C5" s="6">
        <v>0</v>
      </c>
      <c r="D5" s="6"/>
      <c r="E5" s="7"/>
      <c r="F5" s="7"/>
      <c r="G5" s="7"/>
      <c r="H5" s="7"/>
      <c r="I5" s="8" t="s">
        <v>135</v>
      </c>
      <c r="J5" s="6"/>
      <c r="K5" s="7"/>
      <c r="L5" s="7" t="s">
        <v>135</v>
      </c>
      <c r="M5" s="7"/>
      <c r="N5" s="7" t="s">
        <v>135</v>
      </c>
      <c r="O5" s="7"/>
      <c r="P5" s="8"/>
      <c r="Q5" s="61" t="s">
        <v>165</v>
      </c>
      <c r="R5" s="62" t="s">
        <v>166</v>
      </c>
      <c r="S5" s="63" t="s">
        <v>159</v>
      </c>
      <c r="T5" s="136">
        <v>30</v>
      </c>
      <c r="U5" s="137">
        <v>30</v>
      </c>
      <c r="V5" s="187" t="s">
        <v>167</v>
      </c>
      <c r="W5" s="64" t="s">
        <v>137</v>
      </c>
      <c r="X5" s="139" t="s">
        <v>177</v>
      </c>
      <c r="Y5" s="65">
        <v>4</v>
      </c>
      <c r="Z5" s="66">
        <v>24</v>
      </c>
    </row>
    <row r="6" spans="1:26" ht="35.1" customHeight="1" x14ac:dyDescent="0.2">
      <c r="A6" s="99" t="s">
        <v>349</v>
      </c>
      <c r="B6" s="70" t="s">
        <v>35</v>
      </c>
      <c r="C6" s="6">
        <v>0</v>
      </c>
      <c r="D6" s="6"/>
      <c r="E6" s="7"/>
      <c r="F6" s="7"/>
      <c r="G6" s="7"/>
      <c r="H6" s="7" t="s">
        <v>135</v>
      </c>
      <c r="I6" s="8"/>
      <c r="J6" s="6"/>
      <c r="K6" s="7" t="s">
        <v>135</v>
      </c>
      <c r="L6" s="7"/>
      <c r="M6" s="7"/>
      <c r="N6" s="7"/>
      <c r="O6" s="7"/>
      <c r="P6" s="8"/>
      <c r="Q6" s="61" t="s">
        <v>176</v>
      </c>
      <c r="R6" s="62" t="s">
        <v>166</v>
      </c>
      <c r="S6" s="63" t="s">
        <v>169</v>
      </c>
      <c r="T6" s="52">
        <v>9</v>
      </c>
      <c r="U6" s="106">
        <v>9</v>
      </c>
      <c r="V6" s="59" t="s">
        <v>178</v>
      </c>
      <c r="W6" s="64" t="s">
        <v>137</v>
      </c>
      <c r="X6" s="27" t="s">
        <v>164</v>
      </c>
      <c r="Y6" s="65">
        <v>9</v>
      </c>
      <c r="Z6" s="66">
        <v>3</v>
      </c>
    </row>
    <row r="7" spans="1:26" ht="35.1" customHeight="1" x14ac:dyDescent="0.2">
      <c r="A7" s="99" t="s">
        <v>372</v>
      </c>
      <c r="B7" s="70" t="s">
        <v>2</v>
      </c>
      <c r="C7" s="6">
        <v>11</v>
      </c>
      <c r="D7" s="6"/>
      <c r="E7" s="7"/>
      <c r="F7" s="7"/>
      <c r="G7" s="7" t="s">
        <v>135</v>
      </c>
      <c r="H7" s="7"/>
      <c r="I7" s="8"/>
      <c r="J7" s="6" t="s">
        <v>135</v>
      </c>
      <c r="K7" s="7"/>
      <c r="L7" s="7"/>
      <c r="M7" s="7"/>
      <c r="N7" s="7"/>
      <c r="O7" s="7"/>
      <c r="P7" s="8" t="s">
        <v>135</v>
      </c>
      <c r="Q7" s="61" t="s">
        <v>303</v>
      </c>
      <c r="R7" s="62" t="s">
        <v>221</v>
      </c>
      <c r="S7" s="63" t="s">
        <v>157</v>
      </c>
      <c r="T7" s="52">
        <v>8</v>
      </c>
      <c r="U7" s="106">
        <v>8</v>
      </c>
      <c r="V7" s="59" t="s">
        <v>177</v>
      </c>
      <c r="W7" s="64" t="s">
        <v>137</v>
      </c>
      <c r="X7" s="27" t="s">
        <v>280</v>
      </c>
      <c r="Y7" s="65">
        <v>0</v>
      </c>
      <c r="Z7" s="66">
        <v>12</v>
      </c>
    </row>
    <row r="8" spans="1:26" ht="35.1" customHeight="1" x14ac:dyDescent="0.2">
      <c r="A8" s="99" t="s">
        <v>402</v>
      </c>
      <c r="B8" s="70" t="s">
        <v>35</v>
      </c>
      <c r="C8" s="6">
        <v>13</v>
      </c>
      <c r="D8" s="6"/>
      <c r="E8" s="7"/>
      <c r="F8" s="7"/>
      <c r="G8" s="7"/>
      <c r="H8" s="7"/>
      <c r="I8" s="8" t="s">
        <v>135</v>
      </c>
      <c r="J8" s="6"/>
      <c r="K8" s="7"/>
      <c r="L8" s="7" t="s">
        <v>135</v>
      </c>
      <c r="M8" s="7"/>
      <c r="N8" s="7" t="s">
        <v>135</v>
      </c>
      <c r="O8" s="7"/>
      <c r="P8" s="8"/>
      <c r="Q8" s="61" t="s">
        <v>403</v>
      </c>
      <c r="R8" s="103" t="s">
        <v>375</v>
      </c>
      <c r="S8" s="63" t="s">
        <v>404</v>
      </c>
      <c r="T8" s="102">
        <v>4</v>
      </c>
      <c r="U8" s="111">
        <v>4</v>
      </c>
      <c r="V8" s="108">
        <v>3</v>
      </c>
      <c r="W8" s="64" t="s">
        <v>137</v>
      </c>
      <c r="X8" s="27" t="s">
        <v>225</v>
      </c>
      <c r="Y8" s="65">
        <v>0</v>
      </c>
      <c r="Z8" s="66" t="s">
        <v>452</v>
      </c>
    </row>
    <row r="9" spans="1:26" ht="35.1" customHeight="1" x14ac:dyDescent="0.2">
      <c r="A9" s="99" t="s">
        <v>132</v>
      </c>
      <c r="B9" s="70" t="s">
        <v>6</v>
      </c>
      <c r="C9" s="6">
        <v>4</v>
      </c>
      <c r="D9" s="6"/>
      <c r="E9" s="7"/>
      <c r="F9" s="7"/>
      <c r="G9" s="7"/>
      <c r="H9" s="7" t="s">
        <v>135</v>
      </c>
      <c r="I9" s="8"/>
      <c r="J9" s="6"/>
      <c r="K9" s="7" t="s">
        <v>135</v>
      </c>
      <c r="L9" s="7" t="s">
        <v>135</v>
      </c>
      <c r="M9" s="7"/>
      <c r="N9" s="7" t="s">
        <v>135</v>
      </c>
      <c r="O9" s="7"/>
      <c r="P9" s="8"/>
      <c r="Q9" s="61" t="s">
        <v>185</v>
      </c>
      <c r="R9" s="62" t="s">
        <v>186</v>
      </c>
      <c r="S9" s="63" t="s">
        <v>159</v>
      </c>
      <c r="T9" s="52">
        <v>12</v>
      </c>
      <c r="U9" s="106">
        <v>12</v>
      </c>
      <c r="V9" s="59" t="s">
        <v>187</v>
      </c>
      <c r="W9" s="64" t="s">
        <v>137</v>
      </c>
      <c r="X9" s="27" t="s">
        <v>162</v>
      </c>
      <c r="Y9" s="65">
        <v>4</v>
      </c>
      <c r="Z9" s="66">
        <v>22</v>
      </c>
    </row>
    <row r="10" spans="1:26" ht="35.1" customHeight="1" x14ac:dyDescent="0.2">
      <c r="A10" s="99" t="s">
        <v>131</v>
      </c>
      <c r="B10" s="70" t="s">
        <v>35</v>
      </c>
      <c r="C10" s="6">
        <v>0</v>
      </c>
      <c r="D10" s="6"/>
      <c r="E10" s="7"/>
      <c r="F10" s="7"/>
      <c r="G10" s="7"/>
      <c r="H10" s="7"/>
      <c r="I10" s="8" t="s">
        <v>135</v>
      </c>
      <c r="J10" s="6"/>
      <c r="K10" s="7"/>
      <c r="L10" s="7"/>
      <c r="M10" s="7"/>
      <c r="N10" s="7" t="s">
        <v>135</v>
      </c>
      <c r="O10" s="7"/>
      <c r="P10" s="8"/>
      <c r="Q10" s="61" t="s">
        <v>192</v>
      </c>
      <c r="R10" s="62" t="s">
        <v>193</v>
      </c>
      <c r="S10" s="63" t="s">
        <v>169</v>
      </c>
      <c r="T10" s="52">
        <v>12</v>
      </c>
      <c r="U10" s="106">
        <v>12</v>
      </c>
      <c r="V10" s="109" t="s">
        <v>406</v>
      </c>
      <c r="W10" s="64" t="s">
        <v>137</v>
      </c>
      <c r="X10" s="27" t="s">
        <v>194</v>
      </c>
      <c r="Y10" s="65">
        <v>1</v>
      </c>
      <c r="Z10" s="66">
        <v>11</v>
      </c>
    </row>
    <row r="11" spans="1:26" ht="35.1" customHeight="1" x14ac:dyDescent="0.2">
      <c r="A11" s="99" t="s">
        <v>130</v>
      </c>
      <c r="B11" s="70" t="s">
        <v>35</v>
      </c>
      <c r="C11" s="6">
        <v>0</v>
      </c>
      <c r="D11" s="6"/>
      <c r="E11" s="7"/>
      <c r="F11" s="7"/>
      <c r="G11" s="7"/>
      <c r="H11" s="7"/>
      <c r="I11" s="8" t="s">
        <v>135</v>
      </c>
      <c r="J11" s="6"/>
      <c r="K11" s="7"/>
      <c r="L11" s="7"/>
      <c r="M11" s="7"/>
      <c r="N11" s="7" t="s">
        <v>135</v>
      </c>
      <c r="O11" s="7"/>
      <c r="P11" s="8"/>
      <c r="Q11" s="61" t="s">
        <v>192</v>
      </c>
      <c r="R11" s="62" t="s">
        <v>193</v>
      </c>
      <c r="S11" s="63" t="s">
        <v>169</v>
      </c>
      <c r="T11" s="52">
        <v>4</v>
      </c>
      <c r="U11" s="106">
        <v>4</v>
      </c>
      <c r="V11" s="59" t="s">
        <v>177</v>
      </c>
      <c r="W11" s="64" t="s">
        <v>137</v>
      </c>
      <c r="X11" s="27" t="s">
        <v>194</v>
      </c>
      <c r="Y11" s="65">
        <v>1</v>
      </c>
      <c r="Z11" s="66">
        <v>11</v>
      </c>
    </row>
    <row r="12" spans="1:26" ht="35.1" customHeight="1" x14ac:dyDescent="0.2">
      <c r="A12" s="99" t="s">
        <v>129</v>
      </c>
      <c r="B12" s="70" t="s">
        <v>35</v>
      </c>
      <c r="C12" s="6">
        <v>0</v>
      </c>
      <c r="D12" s="6"/>
      <c r="E12" s="7"/>
      <c r="F12" s="7"/>
      <c r="G12" s="7"/>
      <c r="H12" s="7"/>
      <c r="I12" s="8" t="s">
        <v>135</v>
      </c>
      <c r="J12" s="6"/>
      <c r="K12" s="7"/>
      <c r="L12" s="7"/>
      <c r="M12" s="7"/>
      <c r="N12" s="7" t="s">
        <v>135</v>
      </c>
      <c r="O12" s="7"/>
      <c r="P12" s="8"/>
      <c r="Q12" s="61" t="s">
        <v>192</v>
      </c>
      <c r="R12" s="62" t="s">
        <v>193</v>
      </c>
      <c r="S12" s="63" t="s">
        <v>159</v>
      </c>
      <c r="T12" s="52">
        <v>10</v>
      </c>
      <c r="U12" s="106">
        <v>10</v>
      </c>
      <c r="V12" s="59" t="s">
        <v>187</v>
      </c>
      <c r="W12" s="64" t="s">
        <v>137</v>
      </c>
      <c r="X12" s="27" t="s">
        <v>174</v>
      </c>
      <c r="Y12" s="65">
        <v>4</v>
      </c>
      <c r="Z12" s="66">
        <v>2</v>
      </c>
    </row>
    <row r="13" spans="1:26" ht="35.1" customHeight="1" x14ac:dyDescent="0.2">
      <c r="A13" s="99" t="s">
        <v>420</v>
      </c>
      <c r="B13" s="68" t="s">
        <v>6</v>
      </c>
      <c r="C13" s="9">
        <v>14</v>
      </c>
      <c r="D13" s="9"/>
      <c r="E13" s="10"/>
      <c r="F13" s="10"/>
      <c r="G13" s="10"/>
      <c r="H13" s="10"/>
      <c r="I13" s="11" t="s">
        <v>135</v>
      </c>
      <c r="J13" s="9"/>
      <c r="K13" s="10"/>
      <c r="L13" s="10"/>
      <c r="M13" s="10"/>
      <c r="N13" s="10" t="s">
        <v>135</v>
      </c>
      <c r="O13" s="10"/>
      <c r="P13" s="11"/>
      <c r="Q13" s="28" t="s">
        <v>203</v>
      </c>
      <c r="R13" s="103" t="s">
        <v>375</v>
      </c>
      <c r="S13" s="30" t="s">
        <v>169</v>
      </c>
      <c r="T13" s="52">
        <v>35</v>
      </c>
      <c r="U13" s="106">
        <v>35</v>
      </c>
      <c r="V13" s="59" t="s">
        <v>183</v>
      </c>
      <c r="W13" s="4" t="s">
        <v>137</v>
      </c>
      <c r="X13" s="27" t="s">
        <v>177</v>
      </c>
      <c r="Y13" s="54">
        <v>8</v>
      </c>
      <c r="Z13" s="55">
        <v>12</v>
      </c>
    </row>
    <row r="14" spans="1:26" ht="35.1" customHeight="1" x14ac:dyDescent="0.2">
      <c r="A14" s="99" t="s">
        <v>421</v>
      </c>
      <c r="B14" s="68" t="s">
        <v>0</v>
      </c>
      <c r="C14" s="9">
        <v>16</v>
      </c>
      <c r="D14" s="9"/>
      <c r="E14" s="10"/>
      <c r="F14" s="10"/>
      <c r="G14" s="10"/>
      <c r="H14" s="10" t="s">
        <v>135</v>
      </c>
      <c r="I14" s="11"/>
      <c r="J14" s="9"/>
      <c r="K14" s="10"/>
      <c r="L14" s="10"/>
      <c r="M14" s="10"/>
      <c r="N14" s="10" t="s">
        <v>135</v>
      </c>
      <c r="O14" s="10"/>
      <c r="P14" s="11"/>
      <c r="Q14" s="28" t="s">
        <v>203</v>
      </c>
      <c r="R14" s="103" t="s">
        <v>375</v>
      </c>
      <c r="S14" s="30" t="s">
        <v>453</v>
      </c>
      <c r="T14" s="52">
        <v>16.5</v>
      </c>
      <c r="U14" s="106">
        <v>16.5</v>
      </c>
      <c r="V14" s="59" t="s">
        <v>178</v>
      </c>
      <c r="W14" s="53">
        <v>11</v>
      </c>
      <c r="X14" s="27" t="s">
        <v>177</v>
      </c>
      <c r="Y14" s="54">
        <v>4</v>
      </c>
      <c r="Z14" s="55">
        <v>8</v>
      </c>
    </row>
    <row r="15" spans="1:26" ht="35.1" customHeight="1" x14ac:dyDescent="0.2">
      <c r="A15" s="99" t="s">
        <v>128</v>
      </c>
      <c r="B15" s="67" t="s">
        <v>8</v>
      </c>
      <c r="C15" s="9">
        <v>5</v>
      </c>
      <c r="D15" s="9"/>
      <c r="E15" s="10"/>
      <c r="F15" s="10"/>
      <c r="G15" s="10" t="s">
        <v>135</v>
      </c>
      <c r="H15" s="10"/>
      <c r="I15" s="11"/>
      <c r="J15" s="9" t="s">
        <v>135</v>
      </c>
      <c r="K15" s="10" t="s">
        <v>135</v>
      </c>
      <c r="L15" s="10"/>
      <c r="M15" s="10"/>
      <c r="N15" s="10"/>
      <c r="O15" s="10"/>
      <c r="P15" s="11"/>
      <c r="Q15" s="28" t="s">
        <v>203</v>
      </c>
      <c r="R15" s="29" t="s">
        <v>204</v>
      </c>
      <c r="S15" s="30" t="s">
        <v>205</v>
      </c>
      <c r="T15" s="52">
        <v>35</v>
      </c>
      <c r="U15" s="106">
        <v>35</v>
      </c>
      <c r="V15" s="109" t="s">
        <v>407</v>
      </c>
      <c r="W15" s="4" t="s">
        <v>137</v>
      </c>
      <c r="X15" s="27" t="s">
        <v>194</v>
      </c>
      <c r="Y15" s="54">
        <v>3</v>
      </c>
      <c r="Z15" s="55">
        <v>9</v>
      </c>
    </row>
    <row r="16" spans="1:26" ht="35.1" customHeight="1" x14ac:dyDescent="0.2">
      <c r="A16" s="99" t="s">
        <v>327</v>
      </c>
      <c r="B16" s="67" t="s">
        <v>6</v>
      </c>
      <c r="C16" s="9">
        <v>10</v>
      </c>
      <c r="D16" s="9"/>
      <c r="E16" s="10"/>
      <c r="F16" s="10" t="s">
        <v>135</v>
      </c>
      <c r="G16" s="10"/>
      <c r="H16" s="10"/>
      <c r="I16" s="11"/>
      <c r="J16" s="9" t="s">
        <v>135</v>
      </c>
      <c r="K16" s="10" t="s">
        <v>135</v>
      </c>
      <c r="L16" s="10"/>
      <c r="M16" s="10"/>
      <c r="N16" s="10"/>
      <c r="O16" s="10"/>
      <c r="P16" s="11"/>
      <c r="Q16" s="28" t="s">
        <v>354</v>
      </c>
      <c r="R16" s="29" t="s">
        <v>355</v>
      </c>
      <c r="S16" s="30" t="s">
        <v>169</v>
      </c>
      <c r="T16" s="52">
        <v>7.5</v>
      </c>
      <c r="U16" s="106">
        <v>7.5</v>
      </c>
      <c r="V16" s="59" t="s">
        <v>356</v>
      </c>
      <c r="W16" s="4" t="s">
        <v>137</v>
      </c>
      <c r="X16" s="27" t="s">
        <v>162</v>
      </c>
      <c r="Y16" s="54">
        <v>3</v>
      </c>
      <c r="Z16" s="55">
        <v>9</v>
      </c>
    </row>
    <row r="17" spans="1:26" ht="35.1" customHeight="1" x14ac:dyDescent="0.2">
      <c r="A17" s="99" t="s">
        <v>127</v>
      </c>
      <c r="B17" s="68" t="s">
        <v>35</v>
      </c>
      <c r="C17" s="9">
        <v>0</v>
      </c>
      <c r="D17" s="9" t="s">
        <v>135</v>
      </c>
      <c r="E17" s="10"/>
      <c r="F17" s="10"/>
      <c r="G17" s="10"/>
      <c r="H17" s="10"/>
      <c r="I17" s="11"/>
      <c r="J17" s="9"/>
      <c r="K17" s="10"/>
      <c r="L17" s="10" t="s">
        <v>135</v>
      </c>
      <c r="M17" s="10"/>
      <c r="N17" s="10" t="s">
        <v>135</v>
      </c>
      <c r="O17" s="10"/>
      <c r="P17" s="11"/>
      <c r="Q17" s="28" t="s">
        <v>211</v>
      </c>
      <c r="R17" s="29" t="s">
        <v>212</v>
      </c>
      <c r="S17" s="30" t="s">
        <v>169</v>
      </c>
      <c r="T17" s="52">
        <v>7</v>
      </c>
      <c r="U17" s="106">
        <v>7</v>
      </c>
      <c r="V17" s="59" t="s">
        <v>187</v>
      </c>
      <c r="W17" s="4" t="s">
        <v>137</v>
      </c>
      <c r="X17" s="27" t="s">
        <v>197</v>
      </c>
      <c r="Y17" s="54">
        <v>1</v>
      </c>
      <c r="Z17" s="55">
        <v>36</v>
      </c>
    </row>
    <row r="18" spans="1:26" ht="35.1" customHeight="1" x14ac:dyDescent="0.2">
      <c r="A18" s="99" t="s">
        <v>312</v>
      </c>
      <c r="B18" s="68" t="s">
        <v>6</v>
      </c>
      <c r="C18" s="9">
        <v>9</v>
      </c>
      <c r="D18" s="9"/>
      <c r="E18" s="10"/>
      <c r="F18" s="10" t="s">
        <v>135</v>
      </c>
      <c r="G18" s="10"/>
      <c r="H18" s="10"/>
      <c r="I18" s="11"/>
      <c r="J18" s="9"/>
      <c r="K18" s="10" t="s">
        <v>135</v>
      </c>
      <c r="L18" s="10"/>
      <c r="M18" s="10"/>
      <c r="N18" s="10"/>
      <c r="O18" s="10"/>
      <c r="P18" s="11"/>
      <c r="Q18" s="28" t="s">
        <v>350</v>
      </c>
      <c r="R18" s="29" t="s">
        <v>351</v>
      </c>
      <c r="S18" s="30" t="s">
        <v>169</v>
      </c>
      <c r="T18" s="52">
        <v>19</v>
      </c>
      <c r="U18" s="106">
        <v>19</v>
      </c>
      <c r="V18" s="59" t="s">
        <v>257</v>
      </c>
      <c r="W18" s="4" t="s">
        <v>137</v>
      </c>
      <c r="X18" s="27" t="s">
        <v>159</v>
      </c>
      <c r="Y18" s="54">
        <v>3</v>
      </c>
      <c r="Z18" s="55">
        <v>9</v>
      </c>
    </row>
    <row r="19" spans="1:26" ht="35.1" customHeight="1" x14ac:dyDescent="0.2">
      <c r="A19" s="99" t="s">
        <v>126</v>
      </c>
      <c r="B19" s="68" t="s">
        <v>6</v>
      </c>
      <c r="C19" s="9">
        <v>0</v>
      </c>
      <c r="D19" s="9"/>
      <c r="E19" s="10"/>
      <c r="F19" s="10"/>
      <c r="G19" s="10"/>
      <c r="H19" s="10"/>
      <c r="I19" s="11" t="s">
        <v>135</v>
      </c>
      <c r="J19" s="9" t="s">
        <v>135</v>
      </c>
      <c r="K19" s="10"/>
      <c r="L19" s="10"/>
      <c r="M19" s="10"/>
      <c r="N19" s="10" t="s">
        <v>135</v>
      </c>
      <c r="O19" s="10"/>
      <c r="P19" s="11"/>
      <c r="Q19" s="28" t="s">
        <v>176</v>
      </c>
      <c r="R19" s="29" t="s">
        <v>221</v>
      </c>
      <c r="S19" s="30" t="s">
        <v>159</v>
      </c>
      <c r="T19" s="52">
        <v>20</v>
      </c>
      <c r="U19" s="106">
        <v>20</v>
      </c>
      <c r="V19" s="59" t="s">
        <v>167</v>
      </c>
      <c r="W19" s="4" t="s">
        <v>137</v>
      </c>
      <c r="X19" s="27" t="s">
        <v>177</v>
      </c>
      <c r="Y19" s="54">
        <v>6</v>
      </c>
      <c r="Z19" s="55">
        <v>6</v>
      </c>
    </row>
    <row r="20" spans="1:26" ht="35.1" customHeight="1" x14ac:dyDescent="0.2">
      <c r="A20" s="99" t="s">
        <v>125</v>
      </c>
      <c r="B20" s="67" t="s">
        <v>17</v>
      </c>
      <c r="C20" s="9">
        <v>0</v>
      </c>
      <c r="D20" s="9"/>
      <c r="E20" s="10"/>
      <c r="F20" s="10"/>
      <c r="G20" s="10" t="s">
        <v>135</v>
      </c>
      <c r="H20" s="10"/>
      <c r="I20" s="11"/>
      <c r="J20" s="9"/>
      <c r="K20" s="10"/>
      <c r="L20" s="10"/>
      <c r="M20" s="10"/>
      <c r="N20" s="10"/>
      <c r="O20" s="10"/>
      <c r="P20" s="11" t="s">
        <v>135</v>
      </c>
      <c r="Q20" s="28" t="s">
        <v>223</v>
      </c>
      <c r="R20" s="29" t="s">
        <v>224</v>
      </c>
      <c r="S20" s="30" t="s">
        <v>174</v>
      </c>
      <c r="T20" s="52">
        <v>25</v>
      </c>
      <c r="U20" s="106">
        <v>25</v>
      </c>
      <c r="V20" s="59" t="s">
        <v>139</v>
      </c>
      <c r="W20" s="4" t="s">
        <v>137</v>
      </c>
      <c r="X20" s="27" t="s">
        <v>159</v>
      </c>
      <c r="Y20" s="54">
        <v>9</v>
      </c>
      <c r="Z20" s="55">
        <v>3</v>
      </c>
    </row>
    <row r="21" spans="1:26" ht="35.1" customHeight="1" x14ac:dyDescent="0.2">
      <c r="A21" s="99" t="s">
        <v>123</v>
      </c>
      <c r="B21" s="67" t="s">
        <v>0</v>
      </c>
      <c r="C21" s="9">
        <v>0</v>
      </c>
      <c r="D21" s="9" t="s">
        <v>135</v>
      </c>
      <c r="E21" s="10"/>
      <c r="F21" s="10"/>
      <c r="G21" s="10"/>
      <c r="H21" s="10"/>
      <c r="I21" s="11"/>
      <c r="J21" s="9" t="s">
        <v>135</v>
      </c>
      <c r="K21" s="10"/>
      <c r="L21" s="10"/>
      <c r="M21" s="10"/>
      <c r="N21" s="10" t="s">
        <v>135</v>
      </c>
      <c r="O21" s="10"/>
      <c r="P21" s="11"/>
      <c r="Q21" s="28" t="s">
        <v>226</v>
      </c>
      <c r="R21" s="29" t="s">
        <v>227</v>
      </c>
      <c r="S21" s="30" t="s">
        <v>159</v>
      </c>
      <c r="T21" s="52">
        <v>18</v>
      </c>
      <c r="U21" s="106">
        <v>18</v>
      </c>
      <c r="V21" s="110" t="s">
        <v>455</v>
      </c>
      <c r="W21" s="4" t="s">
        <v>137</v>
      </c>
      <c r="X21" s="27" t="s">
        <v>159</v>
      </c>
      <c r="Y21" s="54">
        <v>3</v>
      </c>
      <c r="Z21" s="55">
        <v>9</v>
      </c>
    </row>
    <row r="22" spans="1:26" ht="35.1" customHeight="1" x14ac:dyDescent="0.2">
      <c r="A22" s="99" t="s">
        <v>122</v>
      </c>
      <c r="B22" s="68" t="s">
        <v>35</v>
      </c>
      <c r="C22" s="9">
        <v>0</v>
      </c>
      <c r="D22" s="9" t="s">
        <v>135</v>
      </c>
      <c r="E22" s="10"/>
      <c r="F22" s="10"/>
      <c r="G22" s="10"/>
      <c r="H22" s="10"/>
      <c r="I22" s="11"/>
      <c r="J22" s="9"/>
      <c r="K22" s="10"/>
      <c r="L22" s="10" t="s">
        <v>135</v>
      </c>
      <c r="M22" s="10"/>
      <c r="N22" s="10" t="s">
        <v>135</v>
      </c>
      <c r="O22" s="10"/>
      <c r="P22" s="11"/>
      <c r="Q22" s="28" t="s">
        <v>211</v>
      </c>
      <c r="R22" s="29" t="s">
        <v>212</v>
      </c>
      <c r="S22" s="30" t="s">
        <v>205</v>
      </c>
      <c r="T22" s="52">
        <v>2</v>
      </c>
      <c r="U22" s="106">
        <v>2</v>
      </c>
      <c r="V22" s="59" t="s">
        <v>177</v>
      </c>
      <c r="W22" s="4" t="s">
        <v>137</v>
      </c>
      <c r="X22" s="27" t="s">
        <v>225</v>
      </c>
      <c r="Y22" s="54">
        <v>0</v>
      </c>
      <c r="Z22" s="55" t="s">
        <v>452</v>
      </c>
    </row>
    <row r="23" spans="1:26" ht="35.1" customHeight="1" x14ac:dyDescent="0.2">
      <c r="A23" s="99" t="s">
        <v>486</v>
      </c>
      <c r="B23" s="67" t="s">
        <v>17</v>
      </c>
      <c r="C23" s="9">
        <v>17</v>
      </c>
      <c r="D23" s="9"/>
      <c r="E23" s="10"/>
      <c r="F23" s="10" t="s">
        <v>135</v>
      </c>
      <c r="G23" s="10"/>
      <c r="H23" s="10"/>
      <c r="I23" s="11"/>
      <c r="J23" s="9"/>
      <c r="K23" s="10" t="s">
        <v>135</v>
      </c>
      <c r="L23" s="10" t="s">
        <v>135</v>
      </c>
      <c r="M23" s="10"/>
      <c r="N23" s="10"/>
      <c r="O23" s="10"/>
      <c r="P23" s="11"/>
      <c r="Q23" s="28" t="s">
        <v>185</v>
      </c>
      <c r="R23" s="29" t="s">
        <v>186</v>
      </c>
      <c r="S23" s="30" t="s">
        <v>488</v>
      </c>
      <c r="T23" s="52">
        <v>90</v>
      </c>
      <c r="U23" s="106">
        <v>90</v>
      </c>
      <c r="V23" s="59" t="s">
        <v>489</v>
      </c>
      <c r="W23" s="4" t="s">
        <v>137</v>
      </c>
      <c r="X23" s="27" t="s">
        <v>164</v>
      </c>
      <c r="Y23" s="54">
        <v>3</v>
      </c>
      <c r="Z23" s="55">
        <v>12</v>
      </c>
    </row>
    <row r="24" spans="1:26" ht="35.1" customHeight="1" x14ac:dyDescent="0.2">
      <c r="A24" s="99" t="s">
        <v>124</v>
      </c>
      <c r="B24" s="68" t="s">
        <v>35</v>
      </c>
      <c r="C24" s="9">
        <v>0</v>
      </c>
      <c r="D24" s="9"/>
      <c r="E24" s="10"/>
      <c r="F24" s="10"/>
      <c r="G24" s="10"/>
      <c r="H24" s="10"/>
      <c r="I24" s="11" t="s">
        <v>135</v>
      </c>
      <c r="J24" s="9"/>
      <c r="K24" s="10"/>
      <c r="L24" s="10"/>
      <c r="M24" s="10"/>
      <c r="N24" s="10" t="s">
        <v>135</v>
      </c>
      <c r="O24" s="10"/>
      <c r="P24" s="11"/>
      <c r="Q24" s="28" t="s">
        <v>192</v>
      </c>
      <c r="R24" s="29" t="s">
        <v>193</v>
      </c>
      <c r="S24" s="30" t="s">
        <v>162</v>
      </c>
      <c r="T24" s="52">
        <v>15</v>
      </c>
      <c r="U24" s="106">
        <v>15</v>
      </c>
      <c r="V24" s="59" t="s">
        <v>225</v>
      </c>
      <c r="W24" s="4" t="s">
        <v>137</v>
      </c>
      <c r="X24" s="27" t="s">
        <v>159</v>
      </c>
      <c r="Y24" s="54">
        <v>2</v>
      </c>
      <c r="Z24" s="55">
        <v>10</v>
      </c>
    </row>
    <row r="25" spans="1:26" ht="35.1" customHeight="1" x14ac:dyDescent="0.2">
      <c r="A25" s="99" t="s">
        <v>121</v>
      </c>
      <c r="B25" s="68" t="s">
        <v>35</v>
      </c>
      <c r="C25" s="9">
        <v>6</v>
      </c>
      <c r="D25" s="9"/>
      <c r="E25" s="10" t="s">
        <v>135</v>
      </c>
      <c r="F25" s="10"/>
      <c r="G25" s="10"/>
      <c r="H25" s="10"/>
      <c r="I25" s="11"/>
      <c r="J25" s="9"/>
      <c r="K25" s="10"/>
      <c r="L25" s="10"/>
      <c r="M25" s="10"/>
      <c r="N25" s="10" t="s">
        <v>135</v>
      </c>
      <c r="O25" s="10"/>
      <c r="P25" s="11"/>
      <c r="Q25" s="28" t="s">
        <v>234</v>
      </c>
      <c r="R25" s="29" t="s">
        <v>212</v>
      </c>
      <c r="S25" s="30" t="s">
        <v>205</v>
      </c>
      <c r="T25" s="52">
        <v>1.5</v>
      </c>
      <c r="U25" s="106">
        <v>1.5</v>
      </c>
      <c r="V25" s="108">
        <v>8</v>
      </c>
      <c r="W25" s="4" t="s">
        <v>137</v>
      </c>
      <c r="X25" s="27" t="s">
        <v>197</v>
      </c>
      <c r="Y25" s="54">
        <v>0</v>
      </c>
      <c r="Z25" s="55" t="s">
        <v>452</v>
      </c>
    </row>
    <row r="26" spans="1:26" ht="35.1" customHeight="1" x14ac:dyDescent="0.2">
      <c r="A26" s="99" t="s">
        <v>120</v>
      </c>
      <c r="B26" s="67" t="s">
        <v>2</v>
      </c>
      <c r="C26" s="9">
        <v>0</v>
      </c>
      <c r="D26" s="9"/>
      <c r="E26" s="10"/>
      <c r="F26" s="10"/>
      <c r="G26" s="10"/>
      <c r="H26" s="10"/>
      <c r="I26" s="11" t="s">
        <v>135</v>
      </c>
      <c r="J26" s="9"/>
      <c r="K26" s="10"/>
      <c r="L26" s="10"/>
      <c r="M26" s="10"/>
      <c r="N26" s="10" t="s">
        <v>135</v>
      </c>
      <c r="O26" s="10"/>
      <c r="P26" s="11"/>
      <c r="Q26" s="28" t="s">
        <v>235</v>
      </c>
      <c r="R26" s="29" t="s">
        <v>186</v>
      </c>
      <c r="S26" s="30" t="s">
        <v>159</v>
      </c>
      <c r="T26" s="52">
        <v>14</v>
      </c>
      <c r="U26" s="106">
        <v>14</v>
      </c>
      <c r="V26" s="109" t="s">
        <v>408</v>
      </c>
      <c r="W26" s="4" t="s">
        <v>137</v>
      </c>
      <c r="X26" s="27" t="s">
        <v>177</v>
      </c>
      <c r="Y26" s="54">
        <v>3</v>
      </c>
      <c r="Z26" s="55">
        <v>9</v>
      </c>
    </row>
    <row r="27" spans="1:26" ht="35.1" customHeight="1" x14ac:dyDescent="0.2">
      <c r="A27" s="99" t="s">
        <v>119</v>
      </c>
      <c r="B27" s="67" t="s">
        <v>6</v>
      </c>
      <c r="C27" s="9">
        <v>0</v>
      </c>
      <c r="D27" s="9"/>
      <c r="E27" s="10"/>
      <c r="F27" s="10"/>
      <c r="G27" s="10"/>
      <c r="H27" s="10"/>
      <c r="I27" s="11" t="s">
        <v>135</v>
      </c>
      <c r="J27" s="9"/>
      <c r="K27" s="10"/>
      <c r="L27" s="10" t="s">
        <v>135</v>
      </c>
      <c r="M27" s="10"/>
      <c r="N27" s="10" t="s">
        <v>135</v>
      </c>
      <c r="O27" s="10"/>
      <c r="P27" s="11"/>
      <c r="Q27" s="28" t="s">
        <v>235</v>
      </c>
      <c r="R27" s="29" t="s">
        <v>186</v>
      </c>
      <c r="S27" s="30" t="s">
        <v>159</v>
      </c>
      <c r="T27" s="52">
        <v>14</v>
      </c>
      <c r="U27" s="106">
        <v>14</v>
      </c>
      <c r="V27" s="109" t="s">
        <v>409</v>
      </c>
      <c r="W27" s="4" t="s">
        <v>137</v>
      </c>
      <c r="X27" s="27" t="s">
        <v>177</v>
      </c>
      <c r="Y27" s="54">
        <v>4</v>
      </c>
      <c r="Z27" s="55">
        <v>8</v>
      </c>
    </row>
    <row r="28" spans="1:26" ht="35.1" customHeight="1" x14ac:dyDescent="0.2">
      <c r="A28" s="99" t="s">
        <v>118</v>
      </c>
      <c r="B28" s="68" t="s">
        <v>35</v>
      </c>
      <c r="C28" s="9">
        <v>0</v>
      </c>
      <c r="D28" s="9"/>
      <c r="E28" s="10"/>
      <c r="F28" s="10"/>
      <c r="G28" s="10" t="s">
        <v>135</v>
      </c>
      <c r="H28" s="10"/>
      <c r="I28" s="11"/>
      <c r="J28" s="9"/>
      <c r="K28" s="10"/>
      <c r="L28" s="10"/>
      <c r="M28" s="10"/>
      <c r="N28" s="10"/>
      <c r="O28" s="10"/>
      <c r="P28" s="11" t="s">
        <v>135</v>
      </c>
      <c r="Q28" s="28" t="s">
        <v>236</v>
      </c>
      <c r="R28" s="29" t="s">
        <v>237</v>
      </c>
      <c r="S28" s="30" t="s">
        <v>169</v>
      </c>
      <c r="T28" s="52">
        <v>17</v>
      </c>
      <c r="U28" s="106">
        <v>17</v>
      </c>
      <c r="V28" s="59" t="s">
        <v>183</v>
      </c>
      <c r="W28" s="4" t="s">
        <v>137</v>
      </c>
      <c r="X28" s="27" t="s">
        <v>197</v>
      </c>
      <c r="Y28" s="54">
        <v>9</v>
      </c>
      <c r="Z28" s="55">
        <v>3</v>
      </c>
    </row>
    <row r="29" spans="1:26" ht="35.1" customHeight="1" x14ac:dyDescent="0.2">
      <c r="A29" s="99" t="s">
        <v>296</v>
      </c>
      <c r="B29" s="68" t="s">
        <v>35</v>
      </c>
      <c r="C29" s="9">
        <v>7</v>
      </c>
      <c r="D29" s="9" t="s">
        <v>135</v>
      </c>
      <c r="E29" s="10" t="s">
        <v>135</v>
      </c>
      <c r="F29" s="10" t="s">
        <v>135</v>
      </c>
      <c r="G29" s="10"/>
      <c r="H29" s="10"/>
      <c r="I29" s="11"/>
      <c r="J29" s="9"/>
      <c r="K29" s="10"/>
      <c r="L29" s="10"/>
      <c r="M29" s="10"/>
      <c r="N29" s="10"/>
      <c r="O29" s="10"/>
      <c r="P29" s="11" t="s">
        <v>135</v>
      </c>
      <c r="Q29" s="28" t="s">
        <v>237</v>
      </c>
      <c r="R29" s="29" t="s">
        <v>212</v>
      </c>
      <c r="S29" s="30" t="s">
        <v>302</v>
      </c>
      <c r="T29" s="52">
        <v>5</v>
      </c>
      <c r="U29" s="106">
        <v>5</v>
      </c>
      <c r="V29" s="108">
        <v>6</v>
      </c>
      <c r="W29" s="4" t="s">
        <v>137</v>
      </c>
      <c r="X29" s="27" t="s">
        <v>162</v>
      </c>
      <c r="Y29" s="54">
        <v>1</v>
      </c>
      <c r="Z29" s="55">
        <v>11</v>
      </c>
    </row>
    <row r="30" spans="1:26" ht="35.1" customHeight="1" x14ac:dyDescent="0.2">
      <c r="A30" s="99" t="s">
        <v>117</v>
      </c>
      <c r="B30" s="68" t="s">
        <v>35</v>
      </c>
      <c r="C30" s="9">
        <v>0</v>
      </c>
      <c r="D30" s="9"/>
      <c r="E30" s="10" t="s">
        <v>135</v>
      </c>
      <c r="F30" s="10"/>
      <c r="G30" s="10"/>
      <c r="H30" s="10"/>
      <c r="I30" s="11"/>
      <c r="J30" s="9"/>
      <c r="K30" s="10"/>
      <c r="L30" s="10"/>
      <c r="M30" s="10"/>
      <c r="N30" s="10" t="s">
        <v>135</v>
      </c>
      <c r="O30" s="10"/>
      <c r="P30" s="11"/>
      <c r="Q30" s="28" t="s">
        <v>238</v>
      </c>
      <c r="R30" s="29" t="s">
        <v>239</v>
      </c>
      <c r="S30" s="30" t="s">
        <v>169</v>
      </c>
      <c r="T30" s="52">
        <v>7</v>
      </c>
      <c r="U30" s="106">
        <v>7</v>
      </c>
      <c r="V30" s="59" t="s">
        <v>162</v>
      </c>
      <c r="W30" s="4" t="s">
        <v>137</v>
      </c>
      <c r="X30" s="27" t="s">
        <v>197</v>
      </c>
      <c r="Y30" s="54">
        <v>9</v>
      </c>
      <c r="Z30" s="55">
        <v>3</v>
      </c>
    </row>
    <row r="31" spans="1:26" ht="35.1" customHeight="1" x14ac:dyDescent="0.2">
      <c r="A31" s="99" t="s">
        <v>116</v>
      </c>
      <c r="B31" s="67" t="s">
        <v>2</v>
      </c>
      <c r="C31" s="9">
        <v>0</v>
      </c>
      <c r="D31" s="9"/>
      <c r="E31" s="10"/>
      <c r="F31" s="10"/>
      <c r="G31" s="10"/>
      <c r="H31" s="10"/>
      <c r="I31" s="11" t="s">
        <v>135</v>
      </c>
      <c r="J31" s="9"/>
      <c r="K31" s="10"/>
      <c r="L31" s="10"/>
      <c r="M31" s="10"/>
      <c r="N31" s="10" t="s">
        <v>135</v>
      </c>
      <c r="O31" s="10"/>
      <c r="P31" s="11"/>
      <c r="Q31" s="28" t="s">
        <v>235</v>
      </c>
      <c r="R31" s="29" t="s">
        <v>221</v>
      </c>
      <c r="S31" s="30" t="s">
        <v>169</v>
      </c>
      <c r="T31" s="52">
        <v>10</v>
      </c>
      <c r="U31" s="106">
        <v>10</v>
      </c>
      <c r="V31" s="59" t="s">
        <v>177</v>
      </c>
      <c r="W31" s="4" t="s">
        <v>137</v>
      </c>
      <c r="X31" s="27" t="s">
        <v>225</v>
      </c>
      <c r="Y31" s="54">
        <v>1</v>
      </c>
      <c r="Z31" s="55">
        <v>11</v>
      </c>
    </row>
    <row r="32" spans="1:26" ht="35.1" customHeight="1" x14ac:dyDescent="0.2">
      <c r="A32" s="99" t="s">
        <v>115</v>
      </c>
      <c r="B32" s="67" t="s">
        <v>8</v>
      </c>
      <c r="C32" s="9">
        <v>0</v>
      </c>
      <c r="D32" s="9"/>
      <c r="E32" s="10"/>
      <c r="F32" s="10"/>
      <c r="G32" s="10"/>
      <c r="H32" s="10"/>
      <c r="I32" s="11" t="s">
        <v>135</v>
      </c>
      <c r="J32" s="9"/>
      <c r="K32" s="10" t="s">
        <v>135</v>
      </c>
      <c r="L32" s="10"/>
      <c r="M32" s="10"/>
      <c r="N32" s="10" t="s">
        <v>135</v>
      </c>
      <c r="O32" s="10"/>
      <c r="P32" s="11" t="s">
        <v>135</v>
      </c>
      <c r="Q32" s="28" t="s">
        <v>192</v>
      </c>
      <c r="R32" s="29" t="s">
        <v>193</v>
      </c>
      <c r="S32" s="30" t="s">
        <v>157</v>
      </c>
      <c r="T32" s="52">
        <v>20</v>
      </c>
      <c r="U32" s="106">
        <v>20</v>
      </c>
      <c r="V32" s="109" t="s">
        <v>410</v>
      </c>
      <c r="W32" s="4" t="s">
        <v>137</v>
      </c>
      <c r="X32" s="27" t="s">
        <v>162</v>
      </c>
      <c r="Y32" s="54">
        <v>3</v>
      </c>
      <c r="Z32" s="55">
        <v>9</v>
      </c>
    </row>
    <row r="33" spans="1:26" ht="35.1" customHeight="1" x14ac:dyDescent="0.2">
      <c r="A33" s="99" t="s">
        <v>405</v>
      </c>
      <c r="B33" s="67" t="s">
        <v>0</v>
      </c>
      <c r="C33" s="9">
        <v>13</v>
      </c>
      <c r="D33" s="9"/>
      <c r="E33" s="10" t="s">
        <v>135</v>
      </c>
      <c r="F33" s="10"/>
      <c r="G33" s="10" t="s">
        <v>135</v>
      </c>
      <c r="H33" s="10" t="s">
        <v>135</v>
      </c>
      <c r="I33" s="11" t="s">
        <v>135</v>
      </c>
      <c r="J33" s="9"/>
      <c r="K33" s="10" t="s">
        <v>135</v>
      </c>
      <c r="L33" s="10" t="s">
        <v>135</v>
      </c>
      <c r="M33" s="10"/>
      <c r="N33" s="10" t="s">
        <v>135</v>
      </c>
      <c r="O33" s="10"/>
      <c r="P33" s="11"/>
      <c r="Q33" s="28" t="s">
        <v>238</v>
      </c>
      <c r="R33" s="103" t="s">
        <v>375</v>
      </c>
      <c r="S33" s="30" t="s">
        <v>404</v>
      </c>
      <c r="T33" s="102">
        <v>9</v>
      </c>
      <c r="U33" s="111">
        <v>9</v>
      </c>
      <c r="V33" s="110" t="s">
        <v>177</v>
      </c>
      <c r="W33" s="4" t="s">
        <v>137</v>
      </c>
      <c r="X33" s="27" t="s">
        <v>225</v>
      </c>
      <c r="Y33" s="54">
        <v>0</v>
      </c>
      <c r="Z33" s="55" t="s">
        <v>452</v>
      </c>
    </row>
    <row r="34" spans="1:26" ht="35.1" customHeight="1" x14ac:dyDescent="0.2">
      <c r="A34" s="99" t="s">
        <v>371</v>
      </c>
      <c r="B34" s="68" t="s">
        <v>6</v>
      </c>
      <c r="C34" s="9">
        <v>12</v>
      </c>
      <c r="D34" s="9" t="s">
        <v>135</v>
      </c>
      <c r="E34" s="10" t="s">
        <v>135</v>
      </c>
      <c r="F34" s="10"/>
      <c r="G34" s="10"/>
      <c r="H34" s="10"/>
      <c r="I34" s="11"/>
      <c r="J34" s="9"/>
      <c r="K34" s="10"/>
      <c r="L34" s="10" t="s">
        <v>135</v>
      </c>
      <c r="M34" s="10"/>
      <c r="N34" s="10" t="s">
        <v>135</v>
      </c>
      <c r="O34" s="10"/>
      <c r="P34" s="11" t="s">
        <v>135</v>
      </c>
      <c r="Q34" s="28" t="s">
        <v>203</v>
      </c>
      <c r="R34" s="103" t="s">
        <v>375</v>
      </c>
      <c r="S34" s="30" t="s">
        <v>453</v>
      </c>
      <c r="T34" s="52">
        <v>17</v>
      </c>
      <c r="U34" s="106">
        <v>17</v>
      </c>
      <c r="V34" s="110" t="s">
        <v>454</v>
      </c>
      <c r="W34" s="4" t="s">
        <v>137</v>
      </c>
      <c r="X34" s="27" t="s">
        <v>177</v>
      </c>
      <c r="Y34" s="54">
        <v>4</v>
      </c>
      <c r="Z34" s="55">
        <v>8</v>
      </c>
    </row>
    <row r="35" spans="1:26" ht="35.1" customHeight="1" x14ac:dyDescent="0.2">
      <c r="A35" s="99" t="s">
        <v>315</v>
      </c>
      <c r="B35" s="67" t="s">
        <v>6</v>
      </c>
      <c r="C35" s="9">
        <v>8</v>
      </c>
      <c r="D35" s="9"/>
      <c r="E35" s="10"/>
      <c r="F35" s="10"/>
      <c r="G35" s="10" t="s">
        <v>135</v>
      </c>
      <c r="H35" s="10"/>
      <c r="I35" s="11"/>
      <c r="J35" s="9" t="s">
        <v>135</v>
      </c>
      <c r="K35" s="10" t="s">
        <v>135</v>
      </c>
      <c r="L35" s="10"/>
      <c r="M35" s="10"/>
      <c r="N35" s="10"/>
      <c r="O35" s="10"/>
      <c r="P35" s="11"/>
      <c r="Q35" s="28" t="s">
        <v>192</v>
      </c>
      <c r="R35" s="29" t="s">
        <v>166</v>
      </c>
      <c r="S35" s="30" t="s">
        <v>174</v>
      </c>
      <c r="T35" s="52">
        <v>8</v>
      </c>
      <c r="U35" s="106">
        <v>8</v>
      </c>
      <c r="V35" s="59" t="s">
        <v>183</v>
      </c>
      <c r="W35" s="4" t="s">
        <v>137</v>
      </c>
      <c r="X35" s="27" t="s">
        <v>159</v>
      </c>
      <c r="Y35" s="54">
        <v>3</v>
      </c>
      <c r="Z35" s="55">
        <v>9</v>
      </c>
    </row>
    <row r="36" spans="1:26" ht="35.1" customHeight="1" x14ac:dyDescent="0.2">
      <c r="A36" s="100" t="s">
        <v>108</v>
      </c>
      <c r="B36" s="67" t="s">
        <v>6</v>
      </c>
      <c r="C36" s="9">
        <v>0</v>
      </c>
      <c r="D36" s="9"/>
      <c r="E36" s="10"/>
      <c r="F36" s="10"/>
      <c r="G36" s="10"/>
      <c r="H36" s="10" t="s">
        <v>135</v>
      </c>
      <c r="I36" s="11"/>
      <c r="J36" s="9"/>
      <c r="K36" s="10" t="s">
        <v>135</v>
      </c>
      <c r="L36" s="10" t="s">
        <v>135</v>
      </c>
      <c r="M36" s="10"/>
      <c r="N36" s="10"/>
      <c r="O36" s="10"/>
      <c r="P36" s="11" t="s">
        <v>135</v>
      </c>
      <c r="Q36" s="28" t="s">
        <v>192</v>
      </c>
      <c r="R36" s="29" t="s">
        <v>289</v>
      </c>
      <c r="S36" s="30" t="s">
        <v>157</v>
      </c>
      <c r="T36" s="52">
        <v>11</v>
      </c>
      <c r="U36" s="106">
        <v>11</v>
      </c>
      <c r="V36" s="110" t="s">
        <v>459</v>
      </c>
      <c r="W36" s="4" t="s">
        <v>137</v>
      </c>
      <c r="X36" s="27" t="s">
        <v>280</v>
      </c>
      <c r="Y36" s="54">
        <v>2</v>
      </c>
      <c r="Z36" s="55">
        <v>9</v>
      </c>
    </row>
    <row r="37" spans="1:26" ht="35.1" customHeight="1" x14ac:dyDescent="0.2">
      <c r="A37" s="99" t="s">
        <v>114</v>
      </c>
      <c r="B37" s="68" t="s">
        <v>6</v>
      </c>
      <c r="C37" s="9">
        <v>0</v>
      </c>
      <c r="D37" s="9" t="s">
        <v>135</v>
      </c>
      <c r="E37" s="10" t="s">
        <v>135</v>
      </c>
      <c r="F37" s="10"/>
      <c r="G37" s="10"/>
      <c r="H37" s="10"/>
      <c r="I37" s="11"/>
      <c r="J37" s="9"/>
      <c r="K37" s="10"/>
      <c r="L37" s="10" t="s">
        <v>135</v>
      </c>
      <c r="M37" s="10"/>
      <c r="N37" s="10"/>
      <c r="O37" s="10"/>
      <c r="P37" s="11"/>
      <c r="Q37" s="28" t="s">
        <v>165</v>
      </c>
      <c r="R37" s="29" t="s">
        <v>166</v>
      </c>
      <c r="S37" s="30" t="s">
        <v>157</v>
      </c>
      <c r="T37" s="52">
        <v>14</v>
      </c>
      <c r="U37" s="106">
        <v>14</v>
      </c>
      <c r="V37" s="59" t="s">
        <v>187</v>
      </c>
      <c r="W37" s="4" t="s">
        <v>137</v>
      </c>
      <c r="X37" s="27" t="s">
        <v>162</v>
      </c>
      <c r="Y37" s="54">
        <v>6</v>
      </c>
      <c r="Z37" s="55">
        <v>6</v>
      </c>
    </row>
    <row r="38" spans="1:26" ht="35.1" customHeight="1" x14ac:dyDescent="0.2">
      <c r="A38" s="99" t="s">
        <v>113</v>
      </c>
      <c r="B38" s="68" t="s">
        <v>35</v>
      </c>
      <c r="C38" s="9">
        <v>0</v>
      </c>
      <c r="D38" s="9"/>
      <c r="E38" s="10"/>
      <c r="F38" s="10"/>
      <c r="G38" s="10"/>
      <c r="H38" s="10"/>
      <c r="I38" s="11" t="s">
        <v>135</v>
      </c>
      <c r="J38" s="9"/>
      <c r="K38" s="10"/>
      <c r="L38" s="10"/>
      <c r="M38" s="10"/>
      <c r="N38" s="10" t="s">
        <v>135</v>
      </c>
      <c r="O38" s="10"/>
      <c r="P38" s="11"/>
      <c r="Q38" s="28" t="s">
        <v>211</v>
      </c>
      <c r="R38" s="29" t="s">
        <v>212</v>
      </c>
      <c r="S38" s="30" t="s">
        <v>219</v>
      </c>
      <c r="T38" s="52">
        <v>1</v>
      </c>
      <c r="U38" s="106">
        <v>1</v>
      </c>
      <c r="V38" s="109" t="s">
        <v>252</v>
      </c>
      <c r="W38" s="4" t="s">
        <v>137</v>
      </c>
      <c r="X38" s="27" t="s">
        <v>164</v>
      </c>
      <c r="Y38" s="54">
        <v>1</v>
      </c>
      <c r="Z38" s="55" t="s">
        <v>452</v>
      </c>
    </row>
    <row r="39" spans="1:26" ht="35.1" customHeight="1" x14ac:dyDescent="0.2">
      <c r="A39" s="99" t="s">
        <v>112</v>
      </c>
      <c r="B39" s="67" t="s">
        <v>6</v>
      </c>
      <c r="C39" s="9">
        <v>3</v>
      </c>
      <c r="D39" s="9"/>
      <c r="E39" s="10"/>
      <c r="F39" s="10"/>
      <c r="G39" s="10" t="s">
        <v>135</v>
      </c>
      <c r="H39" s="10"/>
      <c r="I39" s="11" t="s">
        <v>135</v>
      </c>
      <c r="J39" s="9"/>
      <c r="K39" s="10"/>
      <c r="L39" s="10"/>
      <c r="M39" s="10"/>
      <c r="N39" s="10" t="s">
        <v>135</v>
      </c>
      <c r="O39" s="10"/>
      <c r="P39" s="11"/>
      <c r="Q39" s="28" t="s">
        <v>235</v>
      </c>
      <c r="R39" s="29" t="s">
        <v>221</v>
      </c>
      <c r="S39" s="30" t="s">
        <v>157</v>
      </c>
      <c r="T39" s="52">
        <v>5</v>
      </c>
      <c r="U39" s="106">
        <v>5</v>
      </c>
      <c r="V39" s="59" t="s">
        <v>177</v>
      </c>
      <c r="W39" s="4" t="s">
        <v>137</v>
      </c>
      <c r="X39" s="27" t="s">
        <v>174</v>
      </c>
      <c r="Y39" s="54">
        <v>0</v>
      </c>
      <c r="Z39" s="55">
        <v>12</v>
      </c>
    </row>
    <row r="40" spans="1:26" ht="35.1" customHeight="1" x14ac:dyDescent="0.2">
      <c r="A40" s="99" t="s">
        <v>111</v>
      </c>
      <c r="B40" s="67" t="s">
        <v>0</v>
      </c>
      <c r="C40" s="9">
        <v>0</v>
      </c>
      <c r="D40" s="9"/>
      <c r="E40" s="10"/>
      <c r="F40" s="10"/>
      <c r="G40" s="10"/>
      <c r="H40" s="10"/>
      <c r="I40" s="11" t="s">
        <v>135</v>
      </c>
      <c r="J40" s="9"/>
      <c r="K40" s="10"/>
      <c r="L40" s="10"/>
      <c r="M40" s="10"/>
      <c r="N40" s="10" t="s">
        <v>135</v>
      </c>
      <c r="O40" s="10"/>
      <c r="P40" s="11"/>
      <c r="Q40" s="28" t="s">
        <v>235</v>
      </c>
      <c r="R40" s="29" t="s">
        <v>221</v>
      </c>
      <c r="S40" s="30" t="s">
        <v>272</v>
      </c>
      <c r="T40" s="52">
        <v>12</v>
      </c>
      <c r="U40" s="106">
        <v>12</v>
      </c>
      <c r="V40" s="110" t="s">
        <v>456</v>
      </c>
      <c r="W40" s="4" t="s">
        <v>137</v>
      </c>
      <c r="X40" s="27" t="s">
        <v>174</v>
      </c>
      <c r="Y40" s="54">
        <v>0</v>
      </c>
      <c r="Z40" s="55">
        <v>6</v>
      </c>
    </row>
    <row r="41" spans="1:26" ht="35.1" customHeight="1" x14ac:dyDescent="0.2">
      <c r="A41" s="99" t="s">
        <v>412</v>
      </c>
      <c r="B41" s="67" t="s">
        <v>6</v>
      </c>
      <c r="C41" s="9">
        <v>13</v>
      </c>
      <c r="D41" s="9"/>
      <c r="E41" s="10" t="s">
        <v>135</v>
      </c>
      <c r="F41" s="10" t="s">
        <v>135</v>
      </c>
      <c r="G41" s="10" t="s">
        <v>135</v>
      </c>
      <c r="H41" s="10"/>
      <c r="I41" s="11"/>
      <c r="J41" s="9"/>
      <c r="K41" s="10" t="s">
        <v>135</v>
      </c>
      <c r="L41" s="10" t="s">
        <v>135</v>
      </c>
      <c r="M41" s="10" t="s">
        <v>135</v>
      </c>
      <c r="N41" s="10"/>
      <c r="O41" s="10" t="s">
        <v>135</v>
      </c>
      <c r="P41" s="11"/>
      <c r="Q41" s="28" t="s">
        <v>414</v>
      </c>
      <c r="R41" s="103" t="s">
        <v>375</v>
      </c>
      <c r="S41" s="30" t="s">
        <v>404</v>
      </c>
      <c r="T41" s="102">
        <v>9</v>
      </c>
      <c r="U41" s="111">
        <v>9</v>
      </c>
      <c r="V41" s="110" t="s">
        <v>457</v>
      </c>
      <c r="W41" s="4" t="s">
        <v>137</v>
      </c>
      <c r="X41" s="27" t="s">
        <v>225</v>
      </c>
      <c r="Y41" s="54">
        <v>0</v>
      </c>
      <c r="Z41" s="55" t="s">
        <v>452</v>
      </c>
    </row>
    <row r="42" spans="1:26" ht="35.1" customHeight="1" x14ac:dyDescent="0.2">
      <c r="A42" s="99" t="s">
        <v>413</v>
      </c>
      <c r="B42" s="67" t="s">
        <v>6</v>
      </c>
      <c r="C42" s="9">
        <v>13</v>
      </c>
      <c r="D42" s="9"/>
      <c r="E42" s="10" t="s">
        <v>135</v>
      </c>
      <c r="F42" s="10" t="s">
        <v>135</v>
      </c>
      <c r="G42" s="10"/>
      <c r="H42" s="10"/>
      <c r="I42" s="11"/>
      <c r="J42" s="9"/>
      <c r="K42" s="10" t="s">
        <v>135</v>
      </c>
      <c r="L42" s="10" t="s">
        <v>135</v>
      </c>
      <c r="M42" s="10"/>
      <c r="N42" s="10"/>
      <c r="O42" s="10"/>
      <c r="P42" s="11"/>
      <c r="Q42" s="28" t="s">
        <v>415</v>
      </c>
      <c r="R42" s="103" t="s">
        <v>375</v>
      </c>
      <c r="S42" s="30" t="s">
        <v>404</v>
      </c>
      <c r="T42" s="52">
        <v>1</v>
      </c>
      <c r="U42" s="106">
        <v>1</v>
      </c>
      <c r="V42" s="110" t="s">
        <v>457</v>
      </c>
      <c r="W42" s="4" t="s">
        <v>137</v>
      </c>
      <c r="X42" s="27" t="s">
        <v>225</v>
      </c>
      <c r="Y42" s="54">
        <v>0</v>
      </c>
      <c r="Z42" s="55" t="s">
        <v>452</v>
      </c>
    </row>
    <row r="43" spans="1:26" ht="35.1" customHeight="1" x14ac:dyDescent="0.2">
      <c r="A43" s="99" t="s">
        <v>110</v>
      </c>
      <c r="B43" s="67" t="s">
        <v>6</v>
      </c>
      <c r="C43" s="9">
        <v>0</v>
      </c>
      <c r="D43" s="9"/>
      <c r="E43" s="10"/>
      <c r="F43" s="10"/>
      <c r="G43" s="10" t="s">
        <v>135</v>
      </c>
      <c r="H43" s="10"/>
      <c r="I43" s="11" t="s">
        <v>135</v>
      </c>
      <c r="J43" s="9"/>
      <c r="K43" s="10" t="s">
        <v>135</v>
      </c>
      <c r="L43" s="10" t="s">
        <v>135</v>
      </c>
      <c r="M43" s="10"/>
      <c r="N43" s="10"/>
      <c r="O43" s="10"/>
      <c r="P43" s="11" t="s">
        <v>135</v>
      </c>
      <c r="Q43" s="28" t="s">
        <v>276</v>
      </c>
      <c r="R43" s="29" t="s">
        <v>212</v>
      </c>
      <c r="S43" s="30" t="s">
        <v>159</v>
      </c>
      <c r="T43" s="52">
        <v>17</v>
      </c>
      <c r="U43" s="106">
        <v>17</v>
      </c>
      <c r="V43" s="59" t="s">
        <v>178</v>
      </c>
      <c r="W43" s="4" t="s">
        <v>137</v>
      </c>
      <c r="X43" s="27" t="s">
        <v>177</v>
      </c>
      <c r="Y43" s="54">
        <v>7</v>
      </c>
      <c r="Z43" s="55">
        <v>5</v>
      </c>
    </row>
    <row r="44" spans="1:26" ht="35.1" customHeight="1" x14ac:dyDescent="0.2">
      <c r="A44" s="99" t="s">
        <v>109</v>
      </c>
      <c r="B44" s="67" t="s">
        <v>6</v>
      </c>
      <c r="C44" s="9">
        <v>0</v>
      </c>
      <c r="D44" s="9"/>
      <c r="E44" s="10"/>
      <c r="F44" s="10"/>
      <c r="G44" s="10"/>
      <c r="H44" s="10" t="s">
        <v>135</v>
      </c>
      <c r="I44" s="11"/>
      <c r="J44" s="9"/>
      <c r="K44" s="10" t="s">
        <v>135</v>
      </c>
      <c r="L44" s="10" t="s">
        <v>135</v>
      </c>
      <c r="M44" s="10"/>
      <c r="N44" s="10"/>
      <c r="O44" s="10"/>
      <c r="P44" s="11"/>
      <c r="Q44" s="28" t="s">
        <v>165</v>
      </c>
      <c r="R44" s="29" t="s">
        <v>166</v>
      </c>
      <c r="S44" s="30" t="s">
        <v>157</v>
      </c>
      <c r="T44" s="52">
        <v>10</v>
      </c>
      <c r="U44" s="106">
        <v>10</v>
      </c>
      <c r="V44" s="109" t="s">
        <v>411</v>
      </c>
      <c r="W44" s="4" t="s">
        <v>137</v>
      </c>
      <c r="X44" s="27" t="s">
        <v>280</v>
      </c>
      <c r="Y44" s="54">
        <v>6</v>
      </c>
      <c r="Z44" s="55">
        <v>18</v>
      </c>
    </row>
    <row r="45" spans="1:26" ht="35.1" customHeight="1" x14ac:dyDescent="0.2">
      <c r="A45" s="99" t="s">
        <v>416</v>
      </c>
      <c r="B45" s="67" t="s">
        <v>6</v>
      </c>
      <c r="C45" s="9">
        <v>13</v>
      </c>
      <c r="D45" s="9"/>
      <c r="E45" s="10"/>
      <c r="F45" s="10"/>
      <c r="G45" s="10" t="s">
        <v>135</v>
      </c>
      <c r="H45" s="10"/>
      <c r="I45" s="11" t="s">
        <v>135</v>
      </c>
      <c r="J45" s="9"/>
      <c r="K45" s="10" t="s">
        <v>135</v>
      </c>
      <c r="L45" s="10" t="s">
        <v>135</v>
      </c>
      <c r="M45" s="10" t="s">
        <v>135</v>
      </c>
      <c r="N45" s="10"/>
      <c r="O45" s="10"/>
      <c r="P45" s="11"/>
      <c r="Q45" s="28" t="s">
        <v>458</v>
      </c>
      <c r="R45" s="103" t="s">
        <v>375</v>
      </c>
      <c r="S45" s="30" t="s">
        <v>404</v>
      </c>
      <c r="T45" s="102">
        <v>9</v>
      </c>
      <c r="U45" s="111">
        <v>9</v>
      </c>
      <c r="V45" s="110" t="s">
        <v>457</v>
      </c>
      <c r="W45" s="4" t="s">
        <v>137</v>
      </c>
      <c r="X45" s="27" t="s">
        <v>225</v>
      </c>
      <c r="Y45" s="54">
        <v>0</v>
      </c>
      <c r="Z45" s="55" t="s">
        <v>452</v>
      </c>
    </row>
    <row r="46" spans="1:26" ht="35.1" customHeight="1" thickBot="1" x14ac:dyDescent="0.25">
      <c r="A46" s="101" t="s">
        <v>418</v>
      </c>
      <c r="B46" s="98" t="s">
        <v>6</v>
      </c>
      <c r="C46" s="42">
        <v>15</v>
      </c>
      <c r="D46" s="42" t="s">
        <v>135</v>
      </c>
      <c r="E46" s="43" t="s">
        <v>135</v>
      </c>
      <c r="F46" s="43"/>
      <c r="G46" s="43"/>
      <c r="H46" s="43"/>
      <c r="I46" s="44"/>
      <c r="J46" s="42"/>
      <c r="K46" s="43"/>
      <c r="L46" s="43"/>
      <c r="M46" s="43"/>
      <c r="N46" s="43"/>
      <c r="O46" s="43"/>
      <c r="P46" s="44" t="s">
        <v>135</v>
      </c>
      <c r="Q46" s="47" t="s">
        <v>165</v>
      </c>
      <c r="R46" s="48" t="s">
        <v>166</v>
      </c>
      <c r="S46" s="49" t="s">
        <v>174</v>
      </c>
      <c r="T46" s="82">
        <v>16</v>
      </c>
      <c r="U46" s="107">
        <v>16</v>
      </c>
      <c r="V46" s="105">
        <v>2</v>
      </c>
      <c r="W46" s="45" t="s">
        <v>137</v>
      </c>
      <c r="X46" s="46" t="s">
        <v>162</v>
      </c>
      <c r="Y46" s="56">
        <v>3</v>
      </c>
      <c r="Z46" s="57">
        <v>12</v>
      </c>
    </row>
    <row r="47" spans="1:26" ht="5.0999999999999996" customHeight="1" thickTop="1" x14ac:dyDescent="0.2"/>
  </sheetData>
  <sheetProtection autoFilter="0"/>
  <autoFilter ref="A4:AA46" xr:uid="{D1894943-D1F9-46F2-963A-CCFFDE977D21}"/>
  <sortState xmlns:xlrd2="http://schemas.microsoft.com/office/spreadsheetml/2017/richdata2" ref="A5:Z46">
    <sortCondition ref="A5:A46"/>
  </sortState>
  <mergeCells count="10">
    <mergeCell ref="A1:Z1"/>
    <mergeCell ref="A2:A4"/>
    <mergeCell ref="B2:B4"/>
    <mergeCell ref="J2:P2"/>
    <mergeCell ref="D2:I3"/>
    <mergeCell ref="Q2:R3"/>
    <mergeCell ref="S2:S3"/>
    <mergeCell ref="V2:Z3"/>
    <mergeCell ref="C2:C4"/>
    <mergeCell ref="T2:U3"/>
  </mergeCells>
  <conditionalFormatting sqref="D5:P46">
    <cfRule type="cellIs" dxfId="6" priority="14" operator="equal">
      <formula>"X"</formula>
    </cfRule>
  </conditionalFormatting>
  <conditionalFormatting sqref="W5:W46">
    <cfRule type="cellIs" dxfId="4" priority="17" operator="notEqual">
      <formula>"Tod"</formula>
    </cfRule>
  </conditionalFormatting>
  <pageMargins left="0.7" right="0.7" top="0.78740157499999996" bottom="0.78740157499999996" header="0.3" footer="0.3"/>
  <pageSetup paperSize="9" scale="70" fitToHeight="0" orientation="landscape" r:id="rId1"/>
  <ignoredErrors>
    <ignoredError sqref="S8 S29 S33" twoDigitTextYear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8743C039-BB3D-4B4B-AB97-BC44543E68BD}">
            <xm:f>Gefährdungslevel!$H$1</xm:f>
            <x14:dxf>
              <font>
                <b/>
                <i val="0"/>
                <color theme="0"/>
              </font>
              <fill>
                <patternFill>
                  <bgColor rgb="FF6C8591"/>
                </patternFill>
              </fill>
            </x14:dxf>
          </x14:cfRule>
          <x14:cfRule type="cellIs" priority="7" operator="equal" id="{56A602D4-B784-423E-A808-7A162011FF98}">
            <xm:f>Gefährdungslevel!$G$1</xm:f>
            <x14:dxf>
              <font>
                <b/>
                <i val="0"/>
                <color theme="0"/>
              </font>
              <fill>
                <patternFill>
                  <bgColor rgb="FF066C53"/>
                </patternFill>
              </fill>
            </x14:dxf>
          </x14:cfRule>
          <x14:cfRule type="cellIs" priority="8" operator="equal" id="{FB394B53-5B8E-44D0-B29A-B917B1A69C0E}">
            <xm:f>Gefährdungslevel!$F$1</xm:f>
            <x14:dxf>
              <font>
                <b/>
                <i val="0"/>
                <color theme="0"/>
              </font>
              <fill>
                <patternFill>
                  <bgColor rgb="FF098B6D"/>
                </patternFill>
              </fill>
            </x14:dxf>
          </x14:cfRule>
          <x14:cfRule type="cellIs" priority="9" operator="equal" id="{3F25D329-02EF-4861-A459-B26826086D06}">
            <xm:f>Gefährdungslevel!$E$1</xm:f>
            <x14:dxf>
              <font>
                <b/>
                <i val="0"/>
                <color theme="0"/>
              </font>
              <fill>
                <patternFill>
                  <bgColor rgb="FF71BC4A"/>
                </patternFill>
              </fill>
            </x14:dxf>
          </x14:cfRule>
          <x14:cfRule type="cellIs" priority="10" operator="equal" id="{471AE5BB-E7F7-4F2F-9701-77F59D2E5946}">
            <xm:f>Gefährdungslevel!$D$1</xm:f>
            <x14:dxf>
              <font>
                <b/>
                <i val="0"/>
                <color theme="0"/>
              </font>
              <fill>
                <patternFill>
                  <bgColor rgb="FFFFB612"/>
                </patternFill>
              </fill>
            </x14:dxf>
          </x14:cfRule>
          <x14:cfRule type="cellIs" priority="11" operator="equal" id="{66460D97-8CFA-4F35-BAEC-BCAE49AC3F5B}">
            <xm:f>Gefährdungslevel!$C$1</xm:f>
            <x14:dxf>
              <font>
                <b/>
                <i val="0"/>
                <color theme="0"/>
              </font>
              <fill>
                <patternFill>
                  <bgColor rgb="FFFF7E13"/>
                </patternFill>
              </fill>
            </x14:dxf>
          </x14:cfRule>
          <x14:cfRule type="cellIs" priority="12" operator="equal" id="{D4B2D2B0-93A0-49BE-A459-659F8CE09EE2}">
            <xm:f>Gefährdungslevel!$B$1</xm:f>
            <x14:dxf>
              <font>
                <b/>
                <i val="0"/>
                <color theme="0"/>
              </font>
              <fill>
                <patternFill>
                  <bgColor rgb="FFD3313D"/>
                </patternFill>
              </fill>
            </x14:dxf>
          </x14:cfRule>
          <x14:cfRule type="cellIs" priority="13" operator="equal" id="{FE0A6838-4164-426F-8B78-E2986FA5D5E1}">
            <xm:f>Gefährdungslevel!$A$1</xm:f>
            <x14:dxf>
              <font>
                <b/>
                <i val="0"/>
                <color theme="0"/>
              </font>
              <fill>
                <patternFill>
                  <bgColor theme="1"/>
                </patternFill>
              </fill>
            </x14:dxf>
          </x14:cfRule>
          <xm:sqref>B5:B46</xm:sqref>
        </x14:conditionalFormatting>
        <x14:conditionalFormatting xmlns:xm="http://schemas.microsoft.com/office/excel/2006/main">
          <x14:cfRule type="containsText" priority="5" operator="containsText" id="{92207766-681E-4E29-97B7-B60E8DAD935B}">
            <xm:f>NOT(ISERROR(SEARCH("Unbekannt",V5)))</xm:f>
            <xm:f>"Unbekannt"</xm:f>
            <x14:dxf>
              <font>
                <color rgb="FFFF0000"/>
              </font>
              <fill>
                <patternFill>
                  <bgColor rgb="FFEAEAEA"/>
                </patternFill>
              </fill>
            </x14:dxf>
          </x14:cfRule>
          <xm:sqref>V5:V46</xm:sqref>
        </x14:conditionalFormatting>
        <x14:conditionalFormatting xmlns:xm="http://schemas.microsoft.com/office/excel/2006/main">
          <x14:cfRule type="containsText" priority="4" operator="containsText" id="{D8CE9703-2ECC-45D3-BBD1-53937569E4B1}">
            <xm:f>NOT(ISERROR(SEARCH("Nur 1 Paarung",Z5)))</xm:f>
            <xm:f>"Nur 1 Paarung"</xm:f>
            <x14:dxf>
              <font>
                <color rgb="FFFF0000"/>
              </font>
              <fill>
                <patternFill>
                  <bgColor rgb="FFEAEAEA"/>
                </patternFill>
              </fill>
            </x14:dxf>
          </x14:cfRule>
          <xm:sqref>Z5:Z46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807975-E6BA-4858-A2F4-B6D98AA2E097}">
          <x14:formula1>
            <xm:f>Gefährdungslevel!$A$1:$H$1</xm:f>
          </x14:formula1>
          <xm:sqref>B5:B46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53EA-7DBA-45B7-AF22-C633E951B377}">
  <sheetPr>
    <tabColor rgb="FF95DF8F"/>
    <pageSetUpPr fitToPage="1"/>
  </sheetPr>
  <dimension ref="A1:Y158"/>
  <sheetViews>
    <sheetView zoomScale="85" zoomScaleNormal="85" workbookViewId="0">
      <pane ySplit="4" topLeftCell="A5" activePane="bottomLeft" state="frozen"/>
      <selection pane="bottomLeft" activeCell="S5" sqref="S5"/>
    </sheetView>
  </sheetViews>
  <sheetFormatPr baseColWidth="10" defaultColWidth="0" defaultRowHeight="15" zeroHeight="1" x14ac:dyDescent="0.2"/>
  <cols>
    <col min="1" max="1" width="18.33203125" bestFit="1" customWidth="1"/>
    <col min="2" max="5" width="12.109375" hidden="1" customWidth="1"/>
    <col min="6" max="17" width="11.5546875" customWidth="1"/>
    <col min="18" max="18" width="1.33203125" customWidth="1"/>
    <col min="19" max="23" width="11.5546875" customWidth="1"/>
    <col min="24" max="24" width="1.33203125" customWidth="1"/>
    <col min="25" max="25" width="0.88671875" customWidth="1"/>
    <col min="26" max="16384" width="11.5546875" hidden="1"/>
  </cols>
  <sheetData>
    <row r="1" spans="1:24" ht="30" customHeight="1" thickBot="1" x14ac:dyDescent="0.25">
      <c r="A1" s="264" t="s">
        <v>160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6"/>
    </row>
    <row r="2" spans="1:24" ht="30" customHeight="1" x14ac:dyDescent="0.2">
      <c r="A2" s="267" t="s">
        <v>106</v>
      </c>
      <c r="B2" s="289" t="s">
        <v>417</v>
      </c>
      <c r="C2" s="290"/>
      <c r="D2" s="290"/>
      <c r="E2" s="291"/>
      <c r="F2" s="269" t="s">
        <v>290</v>
      </c>
      <c r="G2" s="270"/>
      <c r="H2" s="270"/>
      <c r="I2" s="271"/>
      <c r="J2" s="275" t="s">
        <v>140</v>
      </c>
      <c r="K2" s="275"/>
      <c r="L2" s="275"/>
      <c r="M2" s="276"/>
      <c r="N2" s="279" t="s">
        <v>141</v>
      </c>
      <c r="O2" s="279"/>
      <c r="P2" s="279"/>
      <c r="Q2" s="280"/>
      <c r="R2" s="287"/>
      <c r="S2" s="283" t="s">
        <v>142</v>
      </c>
      <c r="T2" s="283"/>
      <c r="U2" s="283"/>
      <c r="V2" s="283"/>
      <c r="W2" s="284"/>
      <c r="X2" s="287"/>
    </row>
    <row r="3" spans="1:24" ht="15" customHeight="1" thickBot="1" x14ac:dyDescent="0.25">
      <c r="A3" s="268"/>
      <c r="B3" s="292"/>
      <c r="C3" s="293"/>
      <c r="D3" s="293"/>
      <c r="E3" s="294"/>
      <c r="F3" s="272"/>
      <c r="G3" s="273"/>
      <c r="H3" s="273"/>
      <c r="I3" s="274"/>
      <c r="J3" s="277"/>
      <c r="K3" s="277"/>
      <c r="L3" s="277"/>
      <c r="M3" s="278"/>
      <c r="N3" s="281"/>
      <c r="O3" s="281"/>
      <c r="P3" s="281"/>
      <c r="Q3" s="282"/>
      <c r="R3" s="288"/>
      <c r="S3" s="285"/>
      <c r="T3" s="285"/>
      <c r="U3" s="285"/>
      <c r="V3" s="285"/>
      <c r="W3" s="286"/>
      <c r="X3" s="288"/>
    </row>
    <row r="4" spans="1:24" ht="30" customHeight="1" thickBot="1" x14ac:dyDescent="0.25">
      <c r="A4" s="268"/>
      <c r="B4" s="145" t="s">
        <v>90</v>
      </c>
      <c r="C4" s="146" t="s">
        <v>88</v>
      </c>
      <c r="D4" s="146" t="s">
        <v>89</v>
      </c>
      <c r="E4" s="147" t="s">
        <v>87</v>
      </c>
      <c r="F4" s="148" t="s">
        <v>90</v>
      </c>
      <c r="G4" s="149" t="s">
        <v>88</v>
      </c>
      <c r="H4" s="149" t="s">
        <v>89</v>
      </c>
      <c r="I4" s="150" t="s">
        <v>87</v>
      </c>
      <c r="J4" s="151" t="s">
        <v>90</v>
      </c>
      <c r="K4" s="152" t="s">
        <v>88</v>
      </c>
      <c r="L4" s="152" t="s">
        <v>89</v>
      </c>
      <c r="M4" s="153" t="s">
        <v>87</v>
      </c>
      <c r="N4" s="154" t="s">
        <v>90</v>
      </c>
      <c r="O4" s="155" t="s">
        <v>88</v>
      </c>
      <c r="P4" s="155" t="s">
        <v>89</v>
      </c>
      <c r="Q4" s="156" t="s">
        <v>87</v>
      </c>
      <c r="R4" s="86"/>
      <c r="S4" s="157" t="s">
        <v>143</v>
      </c>
      <c r="T4" s="158" t="s">
        <v>90</v>
      </c>
      <c r="U4" s="158" t="s">
        <v>88</v>
      </c>
      <c r="V4" s="158" t="s">
        <v>89</v>
      </c>
      <c r="W4" s="159" t="s">
        <v>87</v>
      </c>
      <c r="X4" s="86"/>
    </row>
    <row r="5" spans="1:24" ht="35.1" customHeight="1" thickTop="1" x14ac:dyDescent="0.2">
      <c r="A5" s="118" t="str">
        <f>'Wikia | Gehege'!A5</f>
        <v>Afrikanischer Leopard</v>
      </c>
      <c r="B5" s="160">
        <v>815</v>
      </c>
      <c r="C5" s="161">
        <v>60</v>
      </c>
      <c r="D5" s="161">
        <v>0</v>
      </c>
      <c r="E5" s="162">
        <v>0</v>
      </c>
      <c r="F5" s="160">
        <f>IFERROR(B5-VLOOKUP($A5,'Wikia | Gehege'!$A:$AL,17,FALSE),0)</f>
        <v>110</v>
      </c>
      <c r="G5" s="161">
        <f>IFERROR(C5-VLOOKUP($A5,'Wikia | Gehege'!$A:$AL,18,FALSE),0)</f>
        <v>15</v>
      </c>
      <c r="H5" s="161">
        <f>IFERROR(D5-VLOOKUP($A5,'Wikia | Gehege'!$A:$AL,19,FALSE),0)</f>
        <v>0</v>
      </c>
      <c r="I5" s="162">
        <f>IFERROR(E5-VLOOKUP($A5,'Wikia | Gehege'!$A:$AL,20,FALSE),0)</f>
        <v>0</v>
      </c>
      <c r="J5" s="160">
        <f>IFERROR(IF(VLOOKUP($A5,'Wikia | Gehege'!$A:$AL,26,FALSE)=1,VLOOKUP($A5,'Wikia | Gehege'!$A:$AL,17,FALSE),VLOOKUP($A5,'Wikia | Gehege'!$A:$AL,17,FALSE)+VLOOKUP($A5,'Wikia | Gehege'!$A:$AL,26,FALSE)*($F5)-1*$F5),0)</f>
        <v>705</v>
      </c>
      <c r="K5" s="161">
        <f>IFERROR(IF(VLOOKUP($A5,'Wikia | Gehege'!$A:$AL,26,FALSE)=1,VLOOKUP($A5,'Wikia | Gehege'!$A:$AL,18,FALSE),VLOOKUP($A5,'Wikia | Gehege'!$A:$AL,18,FALSE)+VLOOKUP($A5,'Wikia | Gehege'!$A:$AL,26,FALSE)*($G5)-1*$G5),0)</f>
        <v>45</v>
      </c>
      <c r="L5" s="161">
        <f>IFERROR(IF(VLOOKUP($A5,'Wikia | Gehege'!$A:$AL,26,FALSE)=1,VLOOKUP($A5,'Wikia | Gehege'!$A:$AL,19,FALSE),VLOOKUP($A5,'Wikia | Gehege'!$A:$AL,19,FALSE)+VLOOKUP($A5,'Wikia | Gehege'!$A:$AL,26,FALSE)*($H5)-1*$H5),0)</f>
        <v>0</v>
      </c>
      <c r="M5" s="162">
        <f>IFERROR(IF(VLOOKUP($A5,'Wikia | Gehege'!$A:$AL,26,FALSE)=1,VLOOKUP($A5,'Wikia | Gehege'!$A:$AL,20,FALSE),VLOOKUP($A5,'Wikia | Gehege'!$A:$AL,20,FALSE)+VLOOKUP($A5,'Wikia | Gehege'!$A:$AL,26,FALSE)*($I5)-1*$I5),0)</f>
        <v>0</v>
      </c>
      <c r="N5" s="160">
        <f>IFERROR(IF(VLOOKUP($A5,'Wikia | Gehege'!$A:$AL,27,FALSE)=1,VLOOKUP($A5,'Wikia | Gehege'!$A:$AL,17,FALSE),VLOOKUP($A5,'Wikia | Gehege'!$A:$AL,17,FALSE)+VLOOKUP($A5,'Wikia | Gehege'!$A:$AL,27,FALSE)*($F5)-1*$F5),0)</f>
        <v>815</v>
      </c>
      <c r="O5" s="161">
        <f>IFERROR(IF(VLOOKUP($A5,'Wikia | Gehege'!$A:$AL,27,FALSE)=1,VLOOKUP($A5,'Wikia | Gehege'!$A:$AL,18,FALSE),VLOOKUP($A5,'Wikia | Gehege'!$A:$AL,18,FALSE)+VLOOKUP($A5,'Wikia | Gehege'!$A:$AL,27,FALSE)*($G5)-1*$G5),0)</f>
        <v>60</v>
      </c>
      <c r="P5" s="161">
        <f>IFERROR(IF(VLOOKUP($A5,'Wikia | Gehege'!$A:$AL,27,FALSE)=1,VLOOKUP($A5,'Wikia | Gehege'!$A:$AL,19,FALSE),VLOOKUP($A5,'Wikia | Gehege'!$A:$AL,19,FALSE)+VLOOKUP($A5,'Wikia | Gehege'!$A:$AL,27,FALSE)*($H5)-1*$H5),0)</f>
        <v>0</v>
      </c>
      <c r="Q5" s="162">
        <f>IFERROR(IF(VLOOKUP($A5,'Wikia | Gehege'!$A:$AL,27,FALSE)=1,VLOOKUP($A5,'Wikia | Gehege'!$A:$AL,20,FALSE),VLOOKUP($A5,'Wikia | Gehege'!$A:$AL,20,FALSE)+VLOOKUP($A5,'Wikia | Gehege'!$A:$AL,27,FALSE)*($I5)-1*$I5),0)</f>
        <v>0</v>
      </c>
      <c r="R5" s="163"/>
      <c r="S5" s="164"/>
      <c r="T5" s="165">
        <f>IFERROR(VLOOKUP($A5,'Wikia | Gehege'!$A:$AL,17,FALSE)+(($S5-1)*$F5),0)</f>
        <v>595</v>
      </c>
      <c r="U5" s="165">
        <f>IFERROR(VLOOKUP($A5,'Wikia | Gehege'!$A:$AL,18,FALSE)+(($S5-1)*$G5),0)</f>
        <v>30</v>
      </c>
      <c r="V5" s="165">
        <f>IFERROR(VLOOKUP($A5,'Wikia | Gehege'!$A:$AL,19,FALSE)+(($S5-1)*$H5),0)</f>
        <v>0</v>
      </c>
      <c r="W5" s="166">
        <f>IFERROR(VLOOKUP($A5,'Wikia | Gehege'!$A:$AL,20,FALSE)+(($S5-1)*$I5),0)</f>
        <v>0</v>
      </c>
      <c r="X5" s="163"/>
    </row>
    <row r="6" spans="1:24" ht="35.1" customHeight="1" x14ac:dyDescent="0.2">
      <c r="A6" s="140" t="str">
        <f>'Wikia | Gehege'!A6</f>
        <v xml:space="preserve">Afrikanischer Steppenelefant </v>
      </c>
      <c r="B6" s="141">
        <v>2818</v>
      </c>
      <c r="C6" s="142">
        <v>0</v>
      </c>
      <c r="D6" s="142">
        <v>222</v>
      </c>
      <c r="E6" s="143">
        <v>0</v>
      </c>
      <c r="F6" s="35">
        <f>IFERROR(B6-VLOOKUP($A6,'Wikia | Gehege'!$A:$AL,17,FALSE),0)</f>
        <v>667</v>
      </c>
      <c r="G6" s="36">
        <f>IFERROR(C6-VLOOKUP($A6,'Wikia | Gehege'!$A:$AL,18,FALSE),0)</f>
        <v>0</v>
      </c>
      <c r="H6" s="36">
        <f>IFERROR(D6-VLOOKUP($A6,'Wikia | Gehege'!$A:$AL,19,FALSE),0)</f>
        <v>74</v>
      </c>
      <c r="I6" s="37">
        <f>IFERROR(E6-VLOOKUP($A6,'Wikia | Gehege'!$A:$AL,20,FALSE),0)</f>
        <v>0</v>
      </c>
      <c r="J6" s="35">
        <f>IFERROR(IF(VLOOKUP($A6,'Wikia | Gehege'!$A:$AL,26,FALSE)=1,VLOOKUP($A6,'Wikia | Gehege'!$A:$AL,17,FALSE),VLOOKUP($A6,'Wikia | Gehege'!$A:$AL,17,FALSE)+VLOOKUP($A6,'Wikia | Gehege'!$A:$AL,26,FALSE)*($F6)-1*$F6),0)</f>
        <v>3485</v>
      </c>
      <c r="K6" s="36">
        <f>IFERROR(IF(VLOOKUP($A6,'Wikia | Gehege'!$A:$AL,26,FALSE)=1,VLOOKUP($A6,'Wikia | Gehege'!$A:$AL,18,FALSE),VLOOKUP($A6,'Wikia | Gehege'!$A:$AL,18,FALSE)+VLOOKUP($A6,'Wikia | Gehege'!$A:$AL,26,FALSE)*($G6)-1*$G6),0)</f>
        <v>0</v>
      </c>
      <c r="L6" s="36">
        <f>IFERROR(IF(VLOOKUP($A6,'Wikia | Gehege'!$A:$AL,26,FALSE)=1,VLOOKUP($A6,'Wikia | Gehege'!$A:$AL,19,FALSE),VLOOKUP($A6,'Wikia | Gehege'!$A:$AL,19,FALSE)+VLOOKUP($A6,'Wikia | Gehege'!$A:$AL,26,FALSE)*($H6)-1*$H6),0)</f>
        <v>296</v>
      </c>
      <c r="M6" s="37">
        <f>IFERROR(IF(VLOOKUP($A6,'Wikia | Gehege'!$A:$AL,26,FALSE)=1,VLOOKUP($A6,'Wikia | Gehege'!$A:$AL,20,FALSE),VLOOKUP($A6,'Wikia | Gehege'!$A:$AL,20,FALSE)+VLOOKUP($A6,'Wikia | Gehege'!$A:$AL,26,FALSE)*($I6)-1*$I6),0)</f>
        <v>0</v>
      </c>
      <c r="N6" s="35">
        <f>IFERROR(IF(VLOOKUP($A6,'Wikia | Gehege'!$A:$AL,27,FALSE)=1,VLOOKUP($A6,'Wikia | Gehege'!$A:$AL,17,FALSE),VLOOKUP($A6,'Wikia | Gehege'!$A:$AL,17,FALSE)+VLOOKUP($A6,'Wikia | Gehege'!$A:$AL,27,FALSE)*($F6)-1*$F6),0)</f>
        <v>11489</v>
      </c>
      <c r="O6" s="36">
        <f>IFERROR(IF(VLOOKUP($A6,'Wikia | Gehege'!$A:$AL,27,FALSE)=1,VLOOKUP($A6,'Wikia | Gehege'!$A:$AL,18,FALSE),VLOOKUP($A6,'Wikia | Gehege'!$A:$AL,18,FALSE)+VLOOKUP($A6,'Wikia | Gehege'!$A:$AL,27,FALSE)*($G6)-1*$G6),0)</f>
        <v>0</v>
      </c>
      <c r="P6" s="36">
        <f>IFERROR(IF(VLOOKUP($A6,'Wikia | Gehege'!$A:$AL,27,FALSE)=1,VLOOKUP($A6,'Wikia | Gehege'!$A:$AL,19,FALSE),VLOOKUP($A6,'Wikia | Gehege'!$A:$AL,19,FALSE)+VLOOKUP($A6,'Wikia | Gehege'!$A:$AL,27,FALSE)*($H6)-1*$H6),0)</f>
        <v>1184</v>
      </c>
      <c r="Q6" s="37">
        <f>IFERROR(IF(VLOOKUP($A6,'Wikia | Gehege'!$A:$AL,27,FALSE)=1,VLOOKUP($A6,'Wikia | Gehege'!$A:$AL,20,FALSE),VLOOKUP($A6,'Wikia | Gehege'!$A:$AL,20,FALSE)+VLOOKUP($A6,'Wikia | Gehege'!$A:$AL,27,FALSE)*($I6)-1*$I6),0)</f>
        <v>0</v>
      </c>
      <c r="R6" s="87"/>
      <c r="S6" s="144"/>
      <c r="T6" s="38">
        <f>IFERROR(VLOOKUP($A6,'Wikia | Gehege'!$A:$AL,17,FALSE)+(($S6-1)*$F6),0)</f>
        <v>1484</v>
      </c>
      <c r="U6" s="38">
        <f>IFERROR(VLOOKUP($A6,'Wikia | Gehege'!$A:$AL,18,FALSE)+(($S6-1)*$G6),0)</f>
        <v>0</v>
      </c>
      <c r="V6" s="38">
        <f>IFERROR(VLOOKUP($A6,'Wikia | Gehege'!$A:$AL,19,FALSE)+(($S6-1)*$H6),0)</f>
        <v>74</v>
      </c>
      <c r="W6" s="85">
        <f>IFERROR(VLOOKUP($A6,'Wikia | Gehege'!$A:$AL,20,FALSE)+(($S6-1)*$I6),0)</f>
        <v>0</v>
      </c>
      <c r="X6" s="87"/>
    </row>
    <row r="7" spans="1:24" ht="35.1" customHeight="1" x14ac:dyDescent="0.2">
      <c r="A7" s="140" t="str">
        <f>'Wikia | Gehege'!A7</f>
        <v xml:space="preserve">Afrikanischer Strauß </v>
      </c>
      <c r="B7" s="141">
        <v>750</v>
      </c>
      <c r="C7" s="142">
        <v>0</v>
      </c>
      <c r="D7" s="142">
        <v>0</v>
      </c>
      <c r="E7" s="143">
        <v>0</v>
      </c>
      <c r="F7" s="35">
        <f>IFERROR(B7-VLOOKUP($A7,'Wikia | Gehege'!$A:$AL,17,FALSE),0)</f>
        <v>75</v>
      </c>
      <c r="G7" s="36">
        <f>IFERROR(C7-VLOOKUP($A7,'Wikia | Gehege'!$A:$AL,18,FALSE),0)</f>
        <v>0</v>
      </c>
      <c r="H7" s="36">
        <f>IFERROR(D7-VLOOKUP($A7,'Wikia | Gehege'!$A:$AL,19,FALSE),0)</f>
        <v>0</v>
      </c>
      <c r="I7" s="37">
        <f>IFERROR(E7-VLOOKUP($A7,'Wikia | Gehege'!$A:$AL,20,FALSE),0)</f>
        <v>0</v>
      </c>
      <c r="J7" s="35">
        <f>IFERROR(IF(VLOOKUP($A7,'Wikia | Gehege'!$A:$AL,26,FALSE)=1,VLOOKUP($A7,'Wikia | Gehege'!$A:$AL,17,FALSE),VLOOKUP($A7,'Wikia | Gehege'!$A:$AL,17,FALSE)+VLOOKUP($A7,'Wikia | Gehege'!$A:$AL,26,FALSE)*($F7)-1*$F7),0)</f>
        <v>675</v>
      </c>
      <c r="K7" s="36">
        <f>IFERROR(IF(VLOOKUP($A7,'Wikia | Gehege'!$A:$AL,26,FALSE)=1,VLOOKUP($A7,'Wikia | Gehege'!$A:$AL,18,FALSE),VLOOKUP($A7,'Wikia | Gehege'!$A:$AL,18,FALSE)+VLOOKUP($A7,'Wikia | Gehege'!$A:$AL,26,FALSE)*($G7)-1*$G7),0)</f>
        <v>0</v>
      </c>
      <c r="L7" s="36">
        <f>IFERROR(IF(VLOOKUP($A7,'Wikia | Gehege'!$A:$AL,26,FALSE)=1,VLOOKUP($A7,'Wikia | Gehege'!$A:$AL,19,FALSE),VLOOKUP($A7,'Wikia | Gehege'!$A:$AL,19,FALSE)+VLOOKUP($A7,'Wikia | Gehege'!$A:$AL,26,FALSE)*($H7)-1*$H7),0)</f>
        <v>0</v>
      </c>
      <c r="M7" s="37">
        <f>IFERROR(IF(VLOOKUP($A7,'Wikia | Gehege'!$A:$AL,26,FALSE)=1,VLOOKUP($A7,'Wikia | Gehege'!$A:$AL,20,FALSE),VLOOKUP($A7,'Wikia | Gehege'!$A:$AL,20,FALSE)+VLOOKUP($A7,'Wikia | Gehege'!$A:$AL,26,FALSE)*($I7)-1*$I7),0)</f>
        <v>0</v>
      </c>
      <c r="N7" s="35">
        <f>IFERROR(IF(VLOOKUP($A7,'Wikia | Gehege'!$A:$AL,27,FALSE)=1,VLOOKUP($A7,'Wikia | Gehege'!$A:$AL,17,FALSE),VLOOKUP($A7,'Wikia | Gehege'!$A:$AL,17,FALSE)+VLOOKUP($A7,'Wikia | Gehege'!$A:$AL,27,FALSE)*($F7)-1*$F7),0)</f>
        <v>1200</v>
      </c>
      <c r="O7" s="36">
        <f>IFERROR(IF(VLOOKUP($A7,'Wikia | Gehege'!$A:$AL,27,FALSE)=1,VLOOKUP($A7,'Wikia | Gehege'!$A:$AL,18,FALSE),VLOOKUP($A7,'Wikia | Gehege'!$A:$AL,18,FALSE)+VLOOKUP($A7,'Wikia | Gehege'!$A:$AL,27,FALSE)*($G7)-1*$G7),0)</f>
        <v>0</v>
      </c>
      <c r="P7" s="36">
        <f>IFERROR(IF(VLOOKUP($A7,'Wikia | Gehege'!$A:$AL,27,FALSE)=1,VLOOKUP($A7,'Wikia | Gehege'!$A:$AL,19,FALSE),VLOOKUP($A7,'Wikia | Gehege'!$A:$AL,19,FALSE)+VLOOKUP($A7,'Wikia | Gehege'!$A:$AL,27,FALSE)*($H7)-1*$H7),0)</f>
        <v>0</v>
      </c>
      <c r="Q7" s="37">
        <f>IFERROR(IF(VLOOKUP($A7,'Wikia | Gehege'!$A:$AL,27,FALSE)=1,VLOOKUP($A7,'Wikia | Gehege'!$A:$AL,20,FALSE),VLOOKUP($A7,'Wikia | Gehege'!$A:$AL,20,FALSE)+VLOOKUP($A7,'Wikia | Gehege'!$A:$AL,27,FALSE)*($I7)-1*$I7),0)</f>
        <v>0</v>
      </c>
      <c r="R7" s="87"/>
      <c r="S7" s="144"/>
      <c r="T7" s="38">
        <f>IFERROR(VLOOKUP($A7,'Wikia | Gehege'!$A:$AL,17,FALSE)+(($S7-1)*$F7),0)</f>
        <v>600</v>
      </c>
      <c r="U7" s="38">
        <f>IFERROR(VLOOKUP($A7,'Wikia | Gehege'!$A:$AL,18,FALSE)+(($S7-1)*$G7),0)</f>
        <v>0</v>
      </c>
      <c r="V7" s="38">
        <f>IFERROR(VLOOKUP($A7,'Wikia | Gehege'!$A:$AL,19,FALSE)+(($S7-1)*$H7),0)</f>
        <v>0</v>
      </c>
      <c r="W7" s="85">
        <f>IFERROR(VLOOKUP($A7,'Wikia | Gehege'!$A:$AL,20,FALSE)+(($S7-1)*$I7),0)</f>
        <v>0</v>
      </c>
      <c r="X7" s="87"/>
    </row>
    <row r="8" spans="1:24" ht="35.1" customHeight="1" x14ac:dyDescent="0.2">
      <c r="A8" s="140" t="str">
        <f>'Wikia | Gehege'!A8</f>
        <v xml:space="preserve">Afrikanischer Wildhund </v>
      </c>
      <c r="B8" s="141">
        <v>1254</v>
      </c>
      <c r="C8" s="142">
        <v>0</v>
      </c>
      <c r="D8" s="142">
        <v>0</v>
      </c>
      <c r="E8" s="143">
        <v>0</v>
      </c>
      <c r="F8" s="35">
        <f>IFERROR(B8-VLOOKUP($A8,'Wikia | Gehege'!$A:$AL,17,FALSE),0)</f>
        <v>92</v>
      </c>
      <c r="G8" s="36">
        <f>IFERROR(C8-VLOOKUP($A8,'Wikia | Gehege'!$A:$AL,18,FALSE),0)</f>
        <v>0</v>
      </c>
      <c r="H8" s="36">
        <f>IFERROR(D8-VLOOKUP($A8,'Wikia | Gehege'!$A:$AL,19,FALSE),0)</f>
        <v>0</v>
      </c>
      <c r="I8" s="37">
        <f>IFERROR(E8-VLOOKUP($A8,'Wikia | Gehege'!$A:$AL,20,FALSE),0)</f>
        <v>0</v>
      </c>
      <c r="J8" s="35">
        <f>IFERROR(IF(VLOOKUP($A8,'Wikia | Gehege'!$A:$AL,26,FALSE)=1,VLOOKUP($A8,'Wikia | Gehege'!$A:$AL,17,FALSE),VLOOKUP($A8,'Wikia | Gehege'!$A:$AL,17,FALSE)+VLOOKUP($A8,'Wikia | Gehege'!$A:$AL,26,FALSE)*($F8)-1*$F8),0)</f>
        <v>1254</v>
      </c>
      <c r="K8" s="36">
        <f>IFERROR(IF(VLOOKUP($A8,'Wikia | Gehege'!$A:$AL,26,FALSE)=1,VLOOKUP($A8,'Wikia | Gehege'!$A:$AL,18,FALSE),VLOOKUP($A8,'Wikia | Gehege'!$A:$AL,18,FALSE)+VLOOKUP($A8,'Wikia | Gehege'!$A:$AL,26,FALSE)*($G8)-1*$G8),0)</f>
        <v>0</v>
      </c>
      <c r="L8" s="36">
        <f>IFERROR(IF(VLOOKUP($A8,'Wikia | Gehege'!$A:$AL,26,FALSE)=1,VLOOKUP($A8,'Wikia | Gehege'!$A:$AL,19,FALSE),VLOOKUP($A8,'Wikia | Gehege'!$A:$AL,19,FALSE)+VLOOKUP($A8,'Wikia | Gehege'!$A:$AL,26,FALSE)*($H8)-1*$H8),0)</f>
        <v>0</v>
      </c>
      <c r="M8" s="37">
        <f>IFERROR(IF(VLOOKUP($A8,'Wikia | Gehege'!$A:$AL,26,FALSE)=1,VLOOKUP($A8,'Wikia | Gehege'!$A:$AL,20,FALSE),VLOOKUP($A8,'Wikia | Gehege'!$A:$AL,20,FALSE)+VLOOKUP($A8,'Wikia | Gehege'!$A:$AL,26,FALSE)*($I8)-1*$I8),0)</f>
        <v>0</v>
      </c>
      <c r="N8" s="35">
        <f>IFERROR(IF(VLOOKUP($A8,'Wikia | Gehege'!$A:$AL,27,FALSE)=1,VLOOKUP($A8,'Wikia | Gehege'!$A:$AL,17,FALSE),VLOOKUP($A8,'Wikia | Gehege'!$A:$AL,17,FALSE)+VLOOKUP($A8,'Wikia | Gehege'!$A:$AL,27,FALSE)*($F8)-1*$F8),0)</f>
        <v>3554</v>
      </c>
      <c r="O8" s="36">
        <f>IFERROR(IF(VLOOKUP($A8,'Wikia | Gehege'!$A:$AL,27,FALSE)=1,VLOOKUP($A8,'Wikia | Gehege'!$A:$AL,18,FALSE),VLOOKUP($A8,'Wikia | Gehege'!$A:$AL,18,FALSE)+VLOOKUP($A8,'Wikia | Gehege'!$A:$AL,27,FALSE)*($G8)-1*$G8),0)</f>
        <v>0</v>
      </c>
      <c r="P8" s="36">
        <f>IFERROR(IF(VLOOKUP($A8,'Wikia | Gehege'!$A:$AL,27,FALSE)=1,VLOOKUP($A8,'Wikia | Gehege'!$A:$AL,19,FALSE),VLOOKUP($A8,'Wikia | Gehege'!$A:$AL,19,FALSE)+VLOOKUP($A8,'Wikia | Gehege'!$A:$AL,27,FALSE)*($H8)-1*$H8),0)</f>
        <v>0</v>
      </c>
      <c r="Q8" s="37">
        <f>IFERROR(IF(VLOOKUP($A8,'Wikia | Gehege'!$A:$AL,27,FALSE)=1,VLOOKUP($A8,'Wikia | Gehege'!$A:$AL,20,FALSE),VLOOKUP($A8,'Wikia | Gehege'!$A:$AL,20,FALSE)+VLOOKUP($A8,'Wikia | Gehege'!$A:$AL,27,FALSE)*($I8)-1*$I8),0)</f>
        <v>0</v>
      </c>
      <c r="R8" s="87"/>
      <c r="S8" s="144"/>
      <c r="T8" s="38">
        <f>IFERROR(VLOOKUP($A8,'Wikia | Gehege'!$A:$AL,17,FALSE)+(($S8-1)*$F8),0)</f>
        <v>1070</v>
      </c>
      <c r="U8" s="38">
        <f>IFERROR(VLOOKUP($A8,'Wikia | Gehege'!$A:$AL,18,FALSE)+(($S8-1)*$G8),0)</f>
        <v>0</v>
      </c>
      <c r="V8" s="38">
        <f>IFERROR(VLOOKUP($A8,'Wikia | Gehege'!$A:$AL,19,FALSE)+(($S8-1)*$H8),0)</f>
        <v>0</v>
      </c>
      <c r="W8" s="85">
        <f>IFERROR(VLOOKUP($A8,'Wikia | Gehege'!$A:$AL,20,FALSE)+(($S8-1)*$I8),0)</f>
        <v>0</v>
      </c>
      <c r="X8" s="87"/>
    </row>
    <row r="9" spans="1:24" ht="35.1" customHeight="1" x14ac:dyDescent="0.2">
      <c r="A9" s="140" t="str">
        <f>'Wikia | Gehege'!A9</f>
        <v xml:space="preserve">Aldabra-Riesenschildkröte </v>
      </c>
      <c r="B9" s="141">
        <v>235</v>
      </c>
      <c r="C9" s="142">
        <v>0</v>
      </c>
      <c r="D9" s="142">
        <v>0</v>
      </c>
      <c r="E9" s="143">
        <v>0</v>
      </c>
      <c r="F9" s="35">
        <f>IFERROR(B9-VLOOKUP($A9,'Wikia | Gehege'!$A:$AL,17,FALSE),0)</f>
        <v>5</v>
      </c>
      <c r="G9" s="36">
        <f>IFERROR(C9-VLOOKUP($A9,'Wikia | Gehege'!$A:$AL,18,FALSE),0)</f>
        <v>0</v>
      </c>
      <c r="H9" s="36">
        <f>IFERROR(D9-VLOOKUP($A9,'Wikia | Gehege'!$A:$AL,19,FALSE),0)</f>
        <v>0</v>
      </c>
      <c r="I9" s="37">
        <f>IFERROR(E9-VLOOKUP($A9,'Wikia | Gehege'!$A:$AL,20,FALSE),0)</f>
        <v>0</v>
      </c>
      <c r="J9" s="35">
        <f>IFERROR(IF(VLOOKUP($A9,'Wikia | Gehege'!$A:$AL,26,FALSE)=1,VLOOKUP($A9,'Wikia | Gehege'!$A:$AL,17,FALSE),VLOOKUP($A9,'Wikia | Gehege'!$A:$AL,17,FALSE)+VLOOKUP($A9,'Wikia | Gehege'!$A:$AL,26,FALSE)*($F9)-1*$F9),0)</f>
        <v>230</v>
      </c>
      <c r="K9" s="36">
        <f>IFERROR(IF(VLOOKUP($A9,'Wikia | Gehege'!$A:$AL,26,FALSE)=1,VLOOKUP($A9,'Wikia | Gehege'!$A:$AL,18,FALSE),VLOOKUP($A9,'Wikia | Gehege'!$A:$AL,18,FALSE)+VLOOKUP($A9,'Wikia | Gehege'!$A:$AL,26,FALSE)*($G9)-1*$G9),0)</f>
        <v>0</v>
      </c>
      <c r="L9" s="36">
        <f>IFERROR(IF(VLOOKUP($A9,'Wikia | Gehege'!$A:$AL,26,FALSE)=1,VLOOKUP($A9,'Wikia | Gehege'!$A:$AL,19,FALSE),VLOOKUP($A9,'Wikia | Gehege'!$A:$AL,19,FALSE)+VLOOKUP($A9,'Wikia | Gehege'!$A:$AL,26,FALSE)*($H9)-1*$H9),0)</f>
        <v>0</v>
      </c>
      <c r="M9" s="37">
        <f>IFERROR(IF(VLOOKUP($A9,'Wikia | Gehege'!$A:$AL,26,FALSE)=1,VLOOKUP($A9,'Wikia | Gehege'!$A:$AL,20,FALSE),VLOOKUP($A9,'Wikia | Gehege'!$A:$AL,20,FALSE)+VLOOKUP($A9,'Wikia | Gehege'!$A:$AL,26,FALSE)*($I9)-1*$I9),0)</f>
        <v>0</v>
      </c>
      <c r="N9" s="35">
        <f>IFERROR(IF(VLOOKUP($A9,'Wikia | Gehege'!$A:$AL,27,FALSE)=1,VLOOKUP($A9,'Wikia | Gehege'!$A:$AL,17,FALSE),VLOOKUP($A9,'Wikia | Gehege'!$A:$AL,17,FALSE)+VLOOKUP($A9,'Wikia | Gehege'!$A:$AL,27,FALSE)*($F9)-1*$F9),0)</f>
        <v>245</v>
      </c>
      <c r="O9" s="36">
        <f>IFERROR(IF(VLOOKUP($A9,'Wikia | Gehege'!$A:$AL,27,FALSE)=1,VLOOKUP($A9,'Wikia | Gehege'!$A:$AL,18,FALSE),VLOOKUP($A9,'Wikia | Gehege'!$A:$AL,18,FALSE)+VLOOKUP($A9,'Wikia | Gehege'!$A:$AL,27,FALSE)*($G9)-1*$G9),0)</f>
        <v>0</v>
      </c>
      <c r="P9" s="36">
        <f>IFERROR(IF(VLOOKUP($A9,'Wikia | Gehege'!$A:$AL,27,FALSE)=1,VLOOKUP($A9,'Wikia | Gehege'!$A:$AL,19,FALSE),VLOOKUP($A9,'Wikia | Gehege'!$A:$AL,19,FALSE)+VLOOKUP($A9,'Wikia | Gehege'!$A:$AL,27,FALSE)*($H9)-1*$H9),0)</f>
        <v>0</v>
      </c>
      <c r="Q9" s="37">
        <f>IFERROR(IF(VLOOKUP($A9,'Wikia | Gehege'!$A:$AL,27,FALSE)=1,VLOOKUP($A9,'Wikia | Gehege'!$A:$AL,20,FALSE),VLOOKUP($A9,'Wikia | Gehege'!$A:$AL,20,FALSE)+VLOOKUP($A9,'Wikia | Gehege'!$A:$AL,27,FALSE)*($I9)-1*$I9),0)</f>
        <v>0</v>
      </c>
      <c r="R9" s="87"/>
      <c r="S9" s="144"/>
      <c r="T9" s="38">
        <f>IFERROR(VLOOKUP($A9,'Wikia | Gehege'!$A:$AL,17,FALSE)+(($S9-1)*$F9),0)</f>
        <v>225</v>
      </c>
      <c r="U9" s="38">
        <f>IFERROR(VLOOKUP($A9,'Wikia | Gehege'!$A:$AL,18,FALSE)+(($S9-1)*$G9),0)</f>
        <v>0</v>
      </c>
      <c r="V9" s="38">
        <f>IFERROR(VLOOKUP($A9,'Wikia | Gehege'!$A:$AL,19,FALSE)+(($S9-1)*$H9),0)</f>
        <v>0</v>
      </c>
      <c r="W9" s="85">
        <f>IFERROR(VLOOKUP($A9,'Wikia | Gehege'!$A:$AL,20,FALSE)+(($S9-1)*$I9),0)</f>
        <v>0</v>
      </c>
      <c r="X9" s="87"/>
    </row>
    <row r="10" spans="1:24" ht="35.1" customHeight="1" x14ac:dyDescent="0.2">
      <c r="A10" s="140" t="str">
        <f>'Wikia | Gehege'!A10</f>
        <v>Alpaka</v>
      </c>
      <c r="B10" s="141">
        <v>360</v>
      </c>
      <c r="C10" s="142">
        <v>0</v>
      </c>
      <c r="D10" s="142">
        <v>0</v>
      </c>
      <c r="E10" s="143">
        <v>0</v>
      </c>
      <c r="F10" s="35">
        <f>IFERROR(B10-VLOOKUP($A10,'Wikia | Gehege'!$A:$AL,17,FALSE),0)</f>
        <v>35</v>
      </c>
      <c r="G10" s="36">
        <f>IFERROR(C10-VLOOKUP($A10,'Wikia | Gehege'!$A:$AL,18,FALSE),0)</f>
        <v>0</v>
      </c>
      <c r="H10" s="36">
        <f>IFERROR(D10-VLOOKUP($A10,'Wikia | Gehege'!$A:$AL,19,FALSE),0)</f>
        <v>0</v>
      </c>
      <c r="I10" s="37">
        <f>IFERROR(E10-VLOOKUP($A10,'Wikia | Gehege'!$A:$AL,20,FALSE),0)</f>
        <v>0</v>
      </c>
      <c r="J10" s="35">
        <f>IFERROR(IF(VLOOKUP($A10,'Wikia | Gehege'!$A:$AL,26,FALSE)=1,VLOOKUP($A10,'Wikia | Gehege'!$A:$AL,17,FALSE),VLOOKUP($A10,'Wikia | Gehege'!$A:$AL,17,FALSE)+VLOOKUP($A10,'Wikia | Gehege'!$A:$AL,26,FALSE)*($F10)-1*$F10),0)</f>
        <v>395</v>
      </c>
      <c r="K10" s="36">
        <f>IFERROR(IF(VLOOKUP($A10,'Wikia | Gehege'!$A:$AL,26,FALSE)=1,VLOOKUP($A10,'Wikia | Gehege'!$A:$AL,18,FALSE),VLOOKUP($A10,'Wikia | Gehege'!$A:$AL,18,FALSE)+VLOOKUP($A10,'Wikia | Gehege'!$A:$AL,26,FALSE)*($G10)-1*$G10),0)</f>
        <v>0</v>
      </c>
      <c r="L10" s="36">
        <f>IFERROR(IF(VLOOKUP($A10,'Wikia | Gehege'!$A:$AL,26,FALSE)=1,VLOOKUP($A10,'Wikia | Gehege'!$A:$AL,19,FALSE),VLOOKUP($A10,'Wikia | Gehege'!$A:$AL,19,FALSE)+VLOOKUP($A10,'Wikia | Gehege'!$A:$AL,26,FALSE)*($H10)-1*$H10),0)</f>
        <v>0</v>
      </c>
      <c r="M10" s="37">
        <f>IFERROR(IF(VLOOKUP($A10,'Wikia | Gehege'!$A:$AL,26,FALSE)=1,VLOOKUP($A10,'Wikia | Gehege'!$A:$AL,20,FALSE),VLOOKUP($A10,'Wikia | Gehege'!$A:$AL,20,FALSE)+VLOOKUP($A10,'Wikia | Gehege'!$A:$AL,26,FALSE)*($I10)-1*$I10),0)</f>
        <v>0</v>
      </c>
      <c r="N10" s="35">
        <f>IFERROR(IF(VLOOKUP($A10,'Wikia | Gehege'!$A:$AL,27,FALSE)=1,VLOOKUP($A10,'Wikia | Gehege'!$A:$AL,17,FALSE),VLOOKUP($A10,'Wikia | Gehege'!$A:$AL,17,FALSE)+VLOOKUP($A10,'Wikia | Gehege'!$A:$AL,27,FALSE)*($F10)-1*$F10),0)</f>
        <v>1690</v>
      </c>
      <c r="O10" s="36">
        <f>IFERROR(IF(VLOOKUP($A10,'Wikia | Gehege'!$A:$AL,27,FALSE)=1,VLOOKUP($A10,'Wikia | Gehege'!$A:$AL,18,FALSE),VLOOKUP($A10,'Wikia | Gehege'!$A:$AL,18,FALSE)+VLOOKUP($A10,'Wikia | Gehege'!$A:$AL,27,FALSE)*($G10)-1*$G10),0)</f>
        <v>0</v>
      </c>
      <c r="P10" s="36">
        <f>IFERROR(IF(VLOOKUP($A10,'Wikia | Gehege'!$A:$AL,27,FALSE)=1,VLOOKUP($A10,'Wikia | Gehege'!$A:$AL,19,FALSE),VLOOKUP($A10,'Wikia | Gehege'!$A:$AL,19,FALSE)+VLOOKUP($A10,'Wikia | Gehege'!$A:$AL,27,FALSE)*($H10)-1*$H10),0)</f>
        <v>0</v>
      </c>
      <c r="Q10" s="37">
        <f>IFERROR(IF(VLOOKUP($A10,'Wikia | Gehege'!$A:$AL,27,FALSE)=1,VLOOKUP($A10,'Wikia | Gehege'!$A:$AL,20,FALSE),VLOOKUP($A10,'Wikia | Gehege'!$A:$AL,20,FALSE)+VLOOKUP($A10,'Wikia | Gehege'!$A:$AL,27,FALSE)*($I10)-1*$I10),0)</f>
        <v>0</v>
      </c>
      <c r="R10" s="87"/>
      <c r="S10" s="144"/>
      <c r="T10" s="38">
        <f>IFERROR(VLOOKUP($A10,'Wikia | Gehege'!$A:$AL,17,FALSE)+(($S10-1)*$F10),0)</f>
        <v>290</v>
      </c>
      <c r="U10" s="38">
        <f>IFERROR(VLOOKUP($A10,'Wikia | Gehege'!$A:$AL,18,FALSE)+(($S10-1)*$G10),0)</f>
        <v>0</v>
      </c>
      <c r="V10" s="38">
        <f>IFERROR(VLOOKUP($A10,'Wikia | Gehege'!$A:$AL,19,FALSE)+(($S10-1)*$H10),0)</f>
        <v>0</v>
      </c>
      <c r="W10" s="85">
        <f>IFERROR(VLOOKUP($A10,'Wikia | Gehege'!$A:$AL,20,FALSE)+(($S10-1)*$I10),0)</f>
        <v>0</v>
      </c>
      <c r="X10" s="87"/>
    </row>
    <row r="11" spans="1:24" ht="35.1" customHeight="1" x14ac:dyDescent="0.2">
      <c r="A11" s="140" t="str">
        <f>'Wikia | Gehege'!A11</f>
        <v>Alpensteinbock</v>
      </c>
      <c r="B11" s="141">
        <v>450</v>
      </c>
      <c r="C11" s="142">
        <v>0</v>
      </c>
      <c r="D11" s="142">
        <v>0</v>
      </c>
      <c r="E11" s="143">
        <v>0</v>
      </c>
      <c r="F11" s="35">
        <f>IFERROR(B11-VLOOKUP($A11,'Wikia | Gehege'!$A:$AL,17,FALSE),0)</f>
        <v>60</v>
      </c>
      <c r="G11" s="36">
        <f>IFERROR(C11-VLOOKUP($A11,'Wikia | Gehege'!$A:$AL,18,FALSE),0)</f>
        <v>0</v>
      </c>
      <c r="H11" s="36">
        <f>IFERROR(D11-VLOOKUP($A11,'Wikia | Gehege'!$A:$AL,19,FALSE),0)</f>
        <v>0</v>
      </c>
      <c r="I11" s="37">
        <f>IFERROR(E11-VLOOKUP($A11,'Wikia | Gehege'!$A:$AL,20,FALSE),0)</f>
        <v>0</v>
      </c>
      <c r="J11" s="35">
        <f>IFERROR(IF(VLOOKUP($A11,'Wikia | Gehege'!$A:$AL,26,FALSE)=1,VLOOKUP($A11,'Wikia | Gehege'!$A:$AL,17,FALSE),VLOOKUP($A11,'Wikia | Gehege'!$A:$AL,17,FALSE)+VLOOKUP($A11,'Wikia | Gehege'!$A:$AL,26,FALSE)*($F11)-1*$F11),0)</f>
        <v>450</v>
      </c>
      <c r="K11" s="36">
        <f>IFERROR(IF(VLOOKUP($A11,'Wikia | Gehege'!$A:$AL,26,FALSE)=1,VLOOKUP($A11,'Wikia | Gehege'!$A:$AL,18,FALSE),VLOOKUP($A11,'Wikia | Gehege'!$A:$AL,18,FALSE)+VLOOKUP($A11,'Wikia | Gehege'!$A:$AL,26,FALSE)*($G11)-1*$G11),0)</f>
        <v>0</v>
      </c>
      <c r="L11" s="36">
        <f>IFERROR(IF(VLOOKUP($A11,'Wikia | Gehege'!$A:$AL,26,FALSE)=1,VLOOKUP($A11,'Wikia | Gehege'!$A:$AL,19,FALSE),VLOOKUP($A11,'Wikia | Gehege'!$A:$AL,19,FALSE)+VLOOKUP($A11,'Wikia | Gehege'!$A:$AL,26,FALSE)*($H11)-1*$H11),0)</f>
        <v>0</v>
      </c>
      <c r="M11" s="37">
        <f>IFERROR(IF(VLOOKUP($A11,'Wikia | Gehege'!$A:$AL,26,FALSE)=1,VLOOKUP($A11,'Wikia | Gehege'!$A:$AL,20,FALSE),VLOOKUP($A11,'Wikia | Gehege'!$A:$AL,20,FALSE)+VLOOKUP($A11,'Wikia | Gehege'!$A:$AL,26,FALSE)*($I11)-1*$I11),0)</f>
        <v>0</v>
      </c>
      <c r="N11" s="35">
        <f>IFERROR(IF(VLOOKUP($A11,'Wikia | Gehege'!$A:$AL,27,FALSE)=1,VLOOKUP($A11,'Wikia | Gehege'!$A:$AL,17,FALSE),VLOOKUP($A11,'Wikia | Gehege'!$A:$AL,17,FALSE)+VLOOKUP($A11,'Wikia | Gehege'!$A:$AL,27,FALSE)*($F11)-1*$F11),0)</f>
        <v>1530</v>
      </c>
      <c r="O11" s="36">
        <f>IFERROR(IF(VLOOKUP($A11,'Wikia | Gehege'!$A:$AL,27,FALSE)=1,VLOOKUP($A11,'Wikia | Gehege'!$A:$AL,18,FALSE),VLOOKUP($A11,'Wikia | Gehege'!$A:$AL,18,FALSE)+VLOOKUP($A11,'Wikia | Gehege'!$A:$AL,27,FALSE)*($G11)-1*$G11),0)</f>
        <v>0</v>
      </c>
      <c r="P11" s="36">
        <f>IFERROR(IF(VLOOKUP($A11,'Wikia | Gehege'!$A:$AL,27,FALSE)=1,VLOOKUP($A11,'Wikia | Gehege'!$A:$AL,19,FALSE),VLOOKUP($A11,'Wikia | Gehege'!$A:$AL,19,FALSE)+VLOOKUP($A11,'Wikia | Gehege'!$A:$AL,27,FALSE)*($H11)-1*$H11),0)</f>
        <v>0</v>
      </c>
      <c r="Q11" s="37">
        <f>IFERROR(IF(VLOOKUP($A11,'Wikia | Gehege'!$A:$AL,27,FALSE)=1,VLOOKUP($A11,'Wikia | Gehege'!$A:$AL,20,FALSE),VLOOKUP($A11,'Wikia | Gehege'!$A:$AL,20,FALSE)+VLOOKUP($A11,'Wikia | Gehege'!$A:$AL,27,FALSE)*($I11)-1*$I11),0)</f>
        <v>0</v>
      </c>
      <c r="R11" s="87"/>
      <c r="S11" s="144"/>
      <c r="T11" s="38">
        <f>IFERROR(VLOOKUP($A11,'Wikia | Gehege'!$A:$AL,17,FALSE)+(($S11-1)*$F11),0)</f>
        <v>330</v>
      </c>
      <c r="U11" s="38">
        <f>IFERROR(VLOOKUP($A11,'Wikia | Gehege'!$A:$AL,18,FALSE)+(($S11-1)*$G11),0)</f>
        <v>0</v>
      </c>
      <c r="V11" s="38">
        <f>IFERROR(VLOOKUP($A11,'Wikia | Gehege'!$A:$AL,19,FALSE)+(($S11-1)*$H11),0)</f>
        <v>0</v>
      </c>
      <c r="W11" s="85">
        <f>IFERROR(VLOOKUP($A11,'Wikia | Gehege'!$A:$AL,20,FALSE)+(($S11-1)*$I11),0)</f>
        <v>0</v>
      </c>
      <c r="X11" s="87"/>
    </row>
    <row r="12" spans="1:24" ht="35.1" customHeight="1" x14ac:dyDescent="0.2">
      <c r="A12" s="140" t="str">
        <f>'Wikia | Gehege'!A12</f>
        <v>Amerikanischer  Standard-Esel</v>
      </c>
      <c r="B12" s="141">
        <v>650</v>
      </c>
      <c r="C12" s="142">
        <v>0</v>
      </c>
      <c r="D12" s="142">
        <v>0</v>
      </c>
      <c r="E12" s="143">
        <v>0</v>
      </c>
      <c r="F12" s="35">
        <f>IFERROR(B12-VLOOKUP($A12,'Wikia | Gehege'!$A:$AL,17,FALSE),0)</f>
        <v>150</v>
      </c>
      <c r="G12" s="36">
        <f>IFERROR(C12-VLOOKUP($A12,'Wikia | Gehege'!$A:$AL,18,FALSE),0)</f>
        <v>0</v>
      </c>
      <c r="H12" s="36">
        <f>IFERROR(D12-VLOOKUP($A12,'Wikia | Gehege'!$A:$AL,19,FALSE),0)</f>
        <v>0</v>
      </c>
      <c r="I12" s="37">
        <f>IFERROR(E12-VLOOKUP($A12,'Wikia | Gehege'!$A:$AL,20,FALSE),0)</f>
        <v>0</v>
      </c>
      <c r="J12" s="35">
        <f>IFERROR(IF(VLOOKUP($A12,'Wikia | Gehege'!$A:$AL,26,FALSE)=1,VLOOKUP($A12,'Wikia | Gehege'!$A:$AL,17,FALSE),VLOOKUP($A12,'Wikia | Gehege'!$A:$AL,17,FALSE)+VLOOKUP($A12,'Wikia | Gehege'!$A:$AL,26,FALSE)*($F12)-1*$F12),0)</f>
        <v>500</v>
      </c>
      <c r="K12" s="36">
        <f>IFERROR(IF(VLOOKUP($A12,'Wikia | Gehege'!$A:$AL,26,FALSE)=1,VLOOKUP($A12,'Wikia | Gehege'!$A:$AL,18,FALSE),VLOOKUP($A12,'Wikia | Gehege'!$A:$AL,18,FALSE)+VLOOKUP($A12,'Wikia | Gehege'!$A:$AL,26,FALSE)*($G12)-1*$G12),0)</f>
        <v>0</v>
      </c>
      <c r="L12" s="36">
        <f>IFERROR(IF(VLOOKUP($A12,'Wikia | Gehege'!$A:$AL,26,FALSE)=1,VLOOKUP($A12,'Wikia | Gehege'!$A:$AL,19,FALSE),VLOOKUP($A12,'Wikia | Gehege'!$A:$AL,19,FALSE)+VLOOKUP($A12,'Wikia | Gehege'!$A:$AL,26,FALSE)*($H12)-1*$H12),0)</f>
        <v>0</v>
      </c>
      <c r="M12" s="37">
        <f>IFERROR(IF(VLOOKUP($A12,'Wikia | Gehege'!$A:$AL,26,FALSE)=1,VLOOKUP($A12,'Wikia | Gehege'!$A:$AL,20,FALSE),VLOOKUP($A12,'Wikia | Gehege'!$A:$AL,20,FALSE)+VLOOKUP($A12,'Wikia | Gehege'!$A:$AL,26,FALSE)*($I12)-1*$I12),0)</f>
        <v>0</v>
      </c>
      <c r="N12" s="35">
        <f>IFERROR(IF(VLOOKUP($A12,'Wikia | Gehege'!$A:$AL,27,FALSE)=1,VLOOKUP($A12,'Wikia | Gehege'!$A:$AL,17,FALSE),VLOOKUP($A12,'Wikia | Gehege'!$A:$AL,17,FALSE)+VLOOKUP($A12,'Wikia | Gehege'!$A:$AL,27,FALSE)*($F12)-1*$F12),0)</f>
        <v>1250</v>
      </c>
      <c r="O12" s="36">
        <f>IFERROR(IF(VLOOKUP($A12,'Wikia | Gehege'!$A:$AL,27,FALSE)=1,VLOOKUP($A12,'Wikia | Gehege'!$A:$AL,18,FALSE),VLOOKUP($A12,'Wikia | Gehege'!$A:$AL,18,FALSE)+VLOOKUP($A12,'Wikia | Gehege'!$A:$AL,27,FALSE)*($G12)-1*$G12),0)</f>
        <v>0</v>
      </c>
      <c r="P12" s="36">
        <f>IFERROR(IF(VLOOKUP($A12,'Wikia | Gehege'!$A:$AL,27,FALSE)=1,VLOOKUP($A12,'Wikia | Gehege'!$A:$AL,19,FALSE),VLOOKUP($A12,'Wikia | Gehege'!$A:$AL,19,FALSE)+VLOOKUP($A12,'Wikia | Gehege'!$A:$AL,27,FALSE)*($H12)-1*$H12),0)</f>
        <v>0</v>
      </c>
      <c r="Q12" s="37">
        <f>IFERROR(IF(VLOOKUP($A12,'Wikia | Gehege'!$A:$AL,27,FALSE)=1,VLOOKUP($A12,'Wikia | Gehege'!$A:$AL,20,FALSE),VLOOKUP($A12,'Wikia | Gehege'!$A:$AL,20,FALSE)+VLOOKUP($A12,'Wikia | Gehege'!$A:$AL,27,FALSE)*($I12)-1*$I12),0)</f>
        <v>0</v>
      </c>
      <c r="R12" s="87"/>
      <c r="S12" s="144"/>
      <c r="T12" s="38">
        <f>IFERROR(VLOOKUP($A12,'Wikia | Gehege'!$A:$AL,17,FALSE)+(($S12-1)*$F12),0)</f>
        <v>350</v>
      </c>
      <c r="U12" s="38">
        <f>IFERROR(VLOOKUP($A12,'Wikia | Gehege'!$A:$AL,18,FALSE)+(($S12-1)*$G12),0)</f>
        <v>0</v>
      </c>
      <c r="V12" s="38">
        <f>IFERROR(VLOOKUP($A12,'Wikia | Gehege'!$A:$AL,19,FALSE)+(($S12-1)*$H12),0)</f>
        <v>0</v>
      </c>
      <c r="W12" s="85">
        <f>IFERROR(VLOOKUP($A12,'Wikia | Gehege'!$A:$AL,20,FALSE)+(($S12-1)*$I12),0)</f>
        <v>0</v>
      </c>
      <c r="X12" s="87"/>
    </row>
    <row r="13" spans="1:24" ht="35.1" customHeight="1" x14ac:dyDescent="0.2">
      <c r="A13" s="140" t="str">
        <f>'Wikia | Gehege'!A13</f>
        <v>Amerikanischer Biber</v>
      </c>
      <c r="B13" s="141">
        <v>525</v>
      </c>
      <c r="C13" s="142">
        <v>0</v>
      </c>
      <c r="D13" s="142">
        <v>367</v>
      </c>
      <c r="E13" s="143">
        <v>90</v>
      </c>
      <c r="F13" s="35">
        <f>IFERROR(B13-VLOOKUP($A13,'Wikia | Gehege'!$A:$AL,17,FALSE),0)</f>
        <v>45</v>
      </c>
      <c r="G13" s="36">
        <f>IFERROR(C13-VLOOKUP($A13,'Wikia | Gehege'!$A:$AL,18,FALSE),0)</f>
        <v>0</v>
      </c>
      <c r="H13" s="36">
        <f>IFERROR(D13-VLOOKUP($A13,'Wikia | Gehege'!$A:$AL,19,FALSE),0)</f>
        <v>32</v>
      </c>
      <c r="I13" s="37">
        <f>IFERROR(E13-VLOOKUP($A13,'Wikia | Gehege'!$A:$AL,20,FALSE),0)</f>
        <v>25</v>
      </c>
      <c r="J13" s="35">
        <f>IFERROR(IF(VLOOKUP($A13,'Wikia | Gehege'!$A:$AL,26,FALSE)=1,VLOOKUP($A13,'Wikia | Gehege'!$A:$AL,17,FALSE),VLOOKUP($A13,'Wikia | Gehege'!$A:$AL,17,FALSE)+VLOOKUP($A13,'Wikia | Gehege'!$A:$AL,26,FALSE)*($F13)-1*$F13),0)</f>
        <v>525</v>
      </c>
      <c r="K13" s="36">
        <f>IFERROR(IF(VLOOKUP($A13,'Wikia | Gehege'!$A:$AL,26,FALSE)=1,VLOOKUP($A13,'Wikia | Gehege'!$A:$AL,18,FALSE),VLOOKUP($A13,'Wikia | Gehege'!$A:$AL,18,FALSE)+VLOOKUP($A13,'Wikia | Gehege'!$A:$AL,26,FALSE)*($G13)-1*$G13),0)</f>
        <v>0</v>
      </c>
      <c r="L13" s="36">
        <f>IFERROR(IF(VLOOKUP($A13,'Wikia | Gehege'!$A:$AL,26,FALSE)=1,VLOOKUP($A13,'Wikia | Gehege'!$A:$AL,19,FALSE),VLOOKUP($A13,'Wikia | Gehege'!$A:$AL,19,FALSE)+VLOOKUP($A13,'Wikia | Gehege'!$A:$AL,26,FALSE)*($H13)-1*$H13),0)</f>
        <v>367</v>
      </c>
      <c r="M13" s="37">
        <f>IFERROR(IF(VLOOKUP($A13,'Wikia | Gehege'!$A:$AL,26,FALSE)=1,VLOOKUP($A13,'Wikia | Gehege'!$A:$AL,20,FALSE),VLOOKUP($A13,'Wikia | Gehege'!$A:$AL,20,FALSE)+VLOOKUP($A13,'Wikia | Gehege'!$A:$AL,26,FALSE)*($I13)-1*$I13),0)</f>
        <v>90</v>
      </c>
      <c r="N13" s="35">
        <f>IFERROR(IF(VLOOKUP($A13,'Wikia | Gehege'!$A:$AL,27,FALSE)=1,VLOOKUP($A13,'Wikia | Gehege'!$A:$AL,17,FALSE),VLOOKUP($A13,'Wikia | Gehege'!$A:$AL,17,FALSE)+VLOOKUP($A13,'Wikia | Gehege'!$A:$AL,27,FALSE)*($F13)-1*$F13),0)</f>
        <v>795</v>
      </c>
      <c r="O13" s="36">
        <f>IFERROR(IF(VLOOKUP($A13,'Wikia | Gehege'!$A:$AL,27,FALSE)=1,VLOOKUP($A13,'Wikia | Gehege'!$A:$AL,18,FALSE),VLOOKUP($A13,'Wikia | Gehege'!$A:$AL,18,FALSE)+VLOOKUP($A13,'Wikia | Gehege'!$A:$AL,27,FALSE)*($G13)-1*$G13),0)</f>
        <v>0</v>
      </c>
      <c r="P13" s="36">
        <f>IFERROR(IF(VLOOKUP($A13,'Wikia | Gehege'!$A:$AL,27,FALSE)=1,VLOOKUP($A13,'Wikia | Gehege'!$A:$AL,19,FALSE),VLOOKUP($A13,'Wikia | Gehege'!$A:$AL,19,FALSE)+VLOOKUP($A13,'Wikia | Gehege'!$A:$AL,27,FALSE)*($H13)-1*$H13),0)</f>
        <v>559</v>
      </c>
      <c r="Q13" s="37">
        <f>IFERROR(IF(VLOOKUP($A13,'Wikia | Gehege'!$A:$AL,27,FALSE)=1,VLOOKUP($A13,'Wikia | Gehege'!$A:$AL,20,FALSE),VLOOKUP($A13,'Wikia | Gehege'!$A:$AL,20,FALSE)+VLOOKUP($A13,'Wikia | Gehege'!$A:$AL,27,FALSE)*($I13)-1*$I13),0)</f>
        <v>240</v>
      </c>
      <c r="R13" s="87"/>
      <c r="S13" s="144"/>
      <c r="T13" s="38">
        <f>IFERROR(VLOOKUP($A13,'Wikia | Gehege'!$A:$AL,17,FALSE)+(($S13-1)*$F13),0)</f>
        <v>435</v>
      </c>
      <c r="U13" s="38">
        <f>IFERROR(VLOOKUP($A13,'Wikia | Gehege'!$A:$AL,18,FALSE)+(($S13-1)*$G13),0)</f>
        <v>0</v>
      </c>
      <c r="V13" s="38">
        <f>IFERROR(VLOOKUP($A13,'Wikia | Gehege'!$A:$AL,19,FALSE)+(($S13-1)*$H13),0)</f>
        <v>303</v>
      </c>
      <c r="W13" s="85">
        <f>IFERROR(VLOOKUP($A13,'Wikia | Gehege'!$A:$AL,20,FALSE)+(($S13-1)*$I13),0)</f>
        <v>40</v>
      </c>
      <c r="X13" s="87"/>
    </row>
    <row r="14" spans="1:24" ht="35.1" customHeight="1" x14ac:dyDescent="0.2">
      <c r="A14" s="140" t="str">
        <f>'Wikia | Gehege'!A14</f>
        <v xml:space="preserve">Amerikanischer Bison </v>
      </c>
      <c r="B14" s="141">
        <v>510</v>
      </c>
      <c r="C14" s="142">
        <v>0</v>
      </c>
      <c r="D14" s="142">
        <v>0</v>
      </c>
      <c r="E14" s="143">
        <v>0</v>
      </c>
      <c r="F14" s="35">
        <f>IFERROR(B14-VLOOKUP($A14,'Wikia | Gehege'!$A:$AL,17,FALSE),0)</f>
        <v>90</v>
      </c>
      <c r="G14" s="36">
        <f>IFERROR(C14-VLOOKUP($A14,'Wikia | Gehege'!$A:$AL,18,FALSE),0)</f>
        <v>0</v>
      </c>
      <c r="H14" s="36">
        <f>IFERROR(D14-VLOOKUP($A14,'Wikia | Gehege'!$A:$AL,19,FALSE),0)</f>
        <v>0</v>
      </c>
      <c r="I14" s="37">
        <f>IFERROR(E14-VLOOKUP($A14,'Wikia | Gehege'!$A:$AL,20,FALSE),0)</f>
        <v>0</v>
      </c>
      <c r="J14" s="35">
        <f>IFERROR(IF(VLOOKUP($A14,'Wikia | Gehege'!$A:$AL,26,FALSE)=1,VLOOKUP($A14,'Wikia | Gehege'!$A:$AL,17,FALSE),VLOOKUP($A14,'Wikia | Gehege'!$A:$AL,17,FALSE)+VLOOKUP($A14,'Wikia | Gehege'!$A:$AL,26,FALSE)*($F14)-1*$F14),0)</f>
        <v>600</v>
      </c>
      <c r="K14" s="36">
        <f>IFERROR(IF(VLOOKUP($A14,'Wikia | Gehege'!$A:$AL,26,FALSE)=1,VLOOKUP($A14,'Wikia | Gehege'!$A:$AL,18,FALSE),VLOOKUP($A14,'Wikia | Gehege'!$A:$AL,18,FALSE)+VLOOKUP($A14,'Wikia | Gehege'!$A:$AL,26,FALSE)*($G14)-1*$G14),0)</f>
        <v>0</v>
      </c>
      <c r="L14" s="36">
        <f>IFERROR(IF(VLOOKUP($A14,'Wikia | Gehege'!$A:$AL,26,FALSE)=1,VLOOKUP($A14,'Wikia | Gehege'!$A:$AL,19,FALSE),VLOOKUP($A14,'Wikia | Gehege'!$A:$AL,19,FALSE)+VLOOKUP($A14,'Wikia | Gehege'!$A:$AL,26,FALSE)*($H14)-1*$H14),0)</f>
        <v>0</v>
      </c>
      <c r="M14" s="37">
        <f>IFERROR(IF(VLOOKUP($A14,'Wikia | Gehege'!$A:$AL,26,FALSE)=1,VLOOKUP($A14,'Wikia | Gehege'!$A:$AL,20,FALSE),VLOOKUP($A14,'Wikia | Gehege'!$A:$AL,20,FALSE)+VLOOKUP($A14,'Wikia | Gehege'!$A:$AL,26,FALSE)*($I14)-1*$I14),0)</f>
        <v>0</v>
      </c>
      <c r="N14" s="35">
        <f>IFERROR(IF(VLOOKUP($A14,'Wikia | Gehege'!$A:$AL,27,FALSE)=1,VLOOKUP($A14,'Wikia | Gehege'!$A:$AL,17,FALSE),VLOOKUP($A14,'Wikia | Gehege'!$A:$AL,17,FALSE)+VLOOKUP($A14,'Wikia | Gehege'!$A:$AL,27,FALSE)*($F14)-1*$F14),0)</f>
        <v>1680</v>
      </c>
      <c r="O14" s="36">
        <f>IFERROR(IF(VLOOKUP($A14,'Wikia | Gehege'!$A:$AL,27,FALSE)=1,VLOOKUP($A14,'Wikia | Gehege'!$A:$AL,18,FALSE),VLOOKUP($A14,'Wikia | Gehege'!$A:$AL,18,FALSE)+VLOOKUP($A14,'Wikia | Gehege'!$A:$AL,27,FALSE)*($G14)-1*$G14),0)</f>
        <v>0</v>
      </c>
      <c r="P14" s="36">
        <f>IFERROR(IF(VLOOKUP($A14,'Wikia | Gehege'!$A:$AL,27,FALSE)=1,VLOOKUP($A14,'Wikia | Gehege'!$A:$AL,19,FALSE),VLOOKUP($A14,'Wikia | Gehege'!$A:$AL,19,FALSE)+VLOOKUP($A14,'Wikia | Gehege'!$A:$AL,27,FALSE)*($H14)-1*$H14),0)</f>
        <v>0</v>
      </c>
      <c r="Q14" s="37">
        <f>IFERROR(IF(VLOOKUP($A14,'Wikia | Gehege'!$A:$AL,27,FALSE)=1,VLOOKUP($A14,'Wikia | Gehege'!$A:$AL,20,FALSE),VLOOKUP($A14,'Wikia | Gehege'!$A:$AL,20,FALSE)+VLOOKUP($A14,'Wikia | Gehege'!$A:$AL,27,FALSE)*($I14)-1*$I14),0)</f>
        <v>0</v>
      </c>
      <c r="R14" s="87"/>
      <c r="S14" s="144"/>
      <c r="T14" s="38">
        <f>IFERROR(VLOOKUP($A14,'Wikia | Gehege'!$A:$AL,17,FALSE)+(($S14-1)*$F14),0)</f>
        <v>330</v>
      </c>
      <c r="U14" s="38">
        <f>IFERROR(VLOOKUP($A14,'Wikia | Gehege'!$A:$AL,18,FALSE)+(($S14-1)*$G14),0)</f>
        <v>0</v>
      </c>
      <c r="V14" s="38">
        <f>IFERROR(VLOOKUP($A14,'Wikia | Gehege'!$A:$AL,19,FALSE)+(($S14-1)*$H14),0)</f>
        <v>0</v>
      </c>
      <c r="W14" s="85">
        <f>IFERROR(VLOOKUP($A14,'Wikia | Gehege'!$A:$AL,20,FALSE)+(($S14-1)*$I14),0)</f>
        <v>0</v>
      </c>
      <c r="X14" s="87"/>
    </row>
    <row r="15" spans="1:24" ht="35.1" customHeight="1" x14ac:dyDescent="0.2">
      <c r="A15" s="140" t="str">
        <f>'Wikia | Gehege'!A15</f>
        <v>Amurleopard</v>
      </c>
      <c r="B15" s="141">
        <v>816</v>
      </c>
      <c r="C15" s="142">
        <v>59</v>
      </c>
      <c r="D15" s="142">
        <v>0</v>
      </c>
      <c r="E15" s="143">
        <v>0</v>
      </c>
      <c r="F15" s="35">
        <f>IFERROR(B15-VLOOKUP($A15,'Wikia | Gehege'!$A:$AL,17,FALSE),0)</f>
        <v>111</v>
      </c>
      <c r="G15" s="36">
        <f>IFERROR(C15-VLOOKUP($A15,'Wikia | Gehege'!$A:$AL,18,FALSE),0)</f>
        <v>14</v>
      </c>
      <c r="H15" s="36">
        <f>IFERROR(D15-VLOOKUP($A15,'Wikia | Gehege'!$A:$AL,19,FALSE),0)</f>
        <v>0</v>
      </c>
      <c r="I15" s="37">
        <f>IFERROR(E15-VLOOKUP($A15,'Wikia | Gehege'!$A:$AL,20,FALSE),0)</f>
        <v>0</v>
      </c>
      <c r="J15" s="35">
        <f>IFERROR(IF(VLOOKUP($A15,'Wikia | Gehege'!$A:$AL,26,FALSE)=1,VLOOKUP($A15,'Wikia | Gehege'!$A:$AL,17,FALSE),VLOOKUP($A15,'Wikia | Gehege'!$A:$AL,17,FALSE)+VLOOKUP($A15,'Wikia | Gehege'!$A:$AL,26,FALSE)*($F15)-1*$F15),0)</f>
        <v>705</v>
      </c>
      <c r="K15" s="36">
        <f>IFERROR(IF(VLOOKUP($A15,'Wikia | Gehege'!$A:$AL,26,FALSE)=1,VLOOKUP($A15,'Wikia | Gehege'!$A:$AL,18,FALSE),VLOOKUP($A15,'Wikia | Gehege'!$A:$AL,18,FALSE)+VLOOKUP($A15,'Wikia | Gehege'!$A:$AL,26,FALSE)*($G15)-1*$G15),0)</f>
        <v>45</v>
      </c>
      <c r="L15" s="36">
        <f>IFERROR(IF(VLOOKUP($A15,'Wikia | Gehege'!$A:$AL,26,FALSE)=1,VLOOKUP($A15,'Wikia | Gehege'!$A:$AL,19,FALSE),VLOOKUP($A15,'Wikia | Gehege'!$A:$AL,19,FALSE)+VLOOKUP($A15,'Wikia | Gehege'!$A:$AL,26,FALSE)*($H15)-1*$H15),0)</f>
        <v>0</v>
      </c>
      <c r="M15" s="37">
        <f>IFERROR(IF(VLOOKUP($A15,'Wikia | Gehege'!$A:$AL,26,FALSE)=1,VLOOKUP($A15,'Wikia | Gehege'!$A:$AL,20,FALSE),VLOOKUP($A15,'Wikia | Gehege'!$A:$AL,20,FALSE)+VLOOKUP($A15,'Wikia | Gehege'!$A:$AL,26,FALSE)*($I15)-1*$I15),0)</f>
        <v>0</v>
      </c>
      <c r="N15" s="35">
        <f>IFERROR(IF(VLOOKUP($A15,'Wikia | Gehege'!$A:$AL,27,FALSE)=1,VLOOKUP($A15,'Wikia | Gehege'!$A:$AL,17,FALSE),VLOOKUP($A15,'Wikia | Gehege'!$A:$AL,17,FALSE)+VLOOKUP($A15,'Wikia | Gehege'!$A:$AL,27,FALSE)*($F15)-1*$F15),0)</f>
        <v>816</v>
      </c>
      <c r="O15" s="36">
        <f>IFERROR(IF(VLOOKUP($A15,'Wikia | Gehege'!$A:$AL,27,FALSE)=1,VLOOKUP($A15,'Wikia | Gehege'!$A:$AL,18,FALSE),VLOOKUP($A15,'Wikia | Gehege'!$A:$AL,18,FALSE)+VLOOKUP($A15,'Wikia | Gehege'!$A:$AL,27,FALSE)*($G15)-1*$G15),0)</f>
        <v>59</v>
      </c>
      <c r="P15" s="36">
        <f>IFERROR(IF(VLOOKUP($A15,'Wikia | Gehege'!$A:$AL,27,FALSE)=1,VLOOKUP($A15,'Wikia | Gehege'!$A:$AL,19,FALSE),VLOOKUP($A15,'Wikia | Gehege'!$A:$AL,19,FALSE)+VLOOKUP($A15,'Wikia | Gehege'!$A:$AL,27,FALSE)*($H15)-1*$H15),0)</f>
        <v>0</v>
      </c>
      <c r="Q15" s="37">
        <f>IFERROR(IF(VLOOKUP($A15,'Wikia | Gehege'!$A:$AL,27,FALSE)=1,VLOOKUP($A15,'Wikia | Gehege'!$A:$AL,20,FALSE),VLOOKUP($A15,'Wikia | Gehege'!$A:$AL,20,FALSE)+VLOOKUP($A15,'Wikia | Gehege'!$A:$AL,27,FALSE)*($I15)-1*$I15),0)</f>
        <v>0</v>
      </c>
      <c r="R15" s="87"/>
      <c r="S15" s="144"/>
      <c r="T15" s="38">
        <f>IFERROR(VLOOKUP($A15,'Wikia | Gehege'!$A:$AL,17,FALSE)+(($S15-1)*$F15),0)</f>
        <v>594</v>
      </c>
      <c r="U15" s="38">
        <f>IFERROR(VLOOKUP($A15,'Wikia | Gehege'!$A:$AL,18,FALSE)+(($S15-1)*$G15),0)</f>
        <v>31</v>
      </c>
      <c r="V15" s="38">
        <f>IFERROR(VLOOKUP($A15,'Wikia | Gehege'!$A:$AL,19,FALSE)+(($S15-1)*$H15),0)</f>
        <v>0</v>
      </c>
      <c r="W15" s="85">
        <f>IFERROR(VLOOKUP($A15,'Wikia | Gehege'!$A:$AL,20,FALSE)+(($S15-1)*$I15),0)</f>
        <v>0</v>
      </c>
      <c r="X15" s="87"/>
    </row>
    <row r="16" spans="1:24" ht="35.1" customHeight="1" x14ac:dyDescent="0.2">
      <c r="A16" s="140" t="str">
        <f>'Wikia | Gehege'!A16</f>
        <v>Bindenwaran</v>
      </c>
      <c r="B16" s="141">
        <v>310</v>
      </c>
      <c r="C16" s="142">
        <v>0</v>
      </c>
      <c r="D16" s="142">
        <v>100</v>
      </c>
      <c r="E16" s="143">
        <v>0</v>
      </c>
      <c r="F16" s="35">
        <f>IFERROR(B16-VLOOKUP($A16,'Wikia | Gehege'!$A:$AL,17,FALSE),0)</f>
        <v>30</v>
      </c>
      <c r="G16" s="36">
        <f>IFERROR(C16-VLOOKUP($A16,'Wikia | Gehege'!$A:$AL,18,FALSE),0)</f>
        <v>0</v>
      </c>
      <c r="H16" s="36">
        <f>IFERROR(D16-VLOOKUP($A16,'Wikia | Gehege'!$A:$AL,19,FALSE),0)</f>
        <v>25</v>
      </c>
      <c r="I16" s="37">
        <f>IFERROR(E16-VLOOKUP($A16,'Wikia | Gehege'!$A:$AL,20,FALSE),0)</f>
        <v>0</v>
      </c>
      <c r="J16" s="35">
        <f>IFERROR(IF(VLOOKUP($A16,'Wikia | Gehege'!$A:$AL,26,FALSE)=1,VLOOKUP($A16,'Wikia | Gehege'!$A:$AL,17,FALSE),VLOOKUP($A16,'Wikia | Gehege'!$A:$AL,17,FALSE)+VLOOKUP($A16,'Wikia | Gehege'!$A:$AL,26,FALSE)*($F16)-1*$F16),0)</f>
        <v>280</v>
      </c>
      <c r="K16" s="36">
        <f>IFERROR(IF(VLOOKUP($A16,'Wikia | Gehege'!$A:$AL,26,FALSE)=1,VLOOKUP($A16,'Wikia | Gehege'!$A:$AL,18,FALSE),VLOOKUP($A16,'Wikia | Gehege'!$A:$AL,18,FALSE)+VLOOKUP($A16,'Wikia | Gehege'!$A:$AL,26,FALSE)*($G16)-1*$G16),0)</f>
        <v>0</v>
      </c>
      <c r="L16" s="36">
        <f>IFERROR(IF(VLOOKUP($A16,'Wikia | Gehege'!$A:$AL,26,FALSE)=1,VLOOKUP($A16,'Wikia | Gehege'!$A:$AL,19,FALSE),VLOOKUP($A16,'Wikia | Gehege'!$A:$AL,19,FALSE)+VLOOKUP($A16,'Wikia | Gehege'!$A:$AL,26,FALSE)*($H16)-1*$H16),0)</f>
        <v>75</v>
      </c>
      <c r="M16" s="37">
        <f>IFERROR(IF(VLOOKUP($A16,'Wikia | Gehege'!$A:$AL,26,FALSE)=1,VLOOKUP($A16,'Wikia | Gehege'!$A:$AL,20,FALSE),VLOOKUP($A16,'Wikia | Gehege'!$A:$AL,20,FALSE)+VLOOKUP($A16,'Wikia | Gehege'!$A:$AL,26,FALSE)*($I16)-1*$I16),0)</f>
        <v>0</v>
      </c>
      <c r="N16" s="35">
        <f>IFERROR(IF(VLOOKUP($A16,'Wikia | Gehege'!$A:$AL,27,FALSE)=1,VLOOKUP($A16,'Wikia | Gehege'!$A:$AL,17,FALSE),VLOOKUP($A16,'Wikia | Gehege'!$A:$AL,17,FALSE)+VLOOKUP($A16,'Wikia | Gehege'!$A:$AL,27,FALSE)*($F16)-1*$F16),0)</f>
        <v>310</v>
      </c>
      <c r="O16" s="36">
        <f>IFERROR(IF(VLOOKUP($A16,'Wikia | Gehege'!$A:$AL,27,FALSE)=1,VLOOKUP($A16,'Wikia | Gehege'!$A:$AL,18,FALSE),VLOOKUP($A16,'Wikia | Gehege'!$A:$AL,18,FALSE)+VLOOKUP($A16,'Wikia | Gehege'!$A:$AL,27,FALSE)*($G16)-1*$G16),0)</f>
        <v>0</v>
      </c>
      <c r="P16" s="36">
        <f>IFERROR(IF(VLOOKUP($A16,'Wikia | Gehege'!$A:$AL,27,FALSE)=1,VLOOKUP($A16,'Wikia | Gehege'!$A:$AL,19,FALSE),VLOOKUP($A16,'Wikia | Gehege'!$A:$AL,19,FALSE)+VLOOKUP($A16,'Wikia | Gehege'!$A:$AL,27,FALSE)*($H16)-1*$H16),0)</f>
        <v>100</v>
      </c>
      <c r="Q16" s="37">
        <f>IFERROR(IF(VLOOKUP($A16,'Wikia | Gehege'!$A:$AL,27,FALSE)=1,VLOOKUP($A16,'Wikia | Gehege'!$A:$AL,20,FALSE),VLOOKUP($A16,'Wikia | Gehege'!$A:$AL,20,FALSE)+VLOOKUP($A16,'Wikia | Gehege'!$A:$AL,27,FALSE)*($I16)-1*$I16),0)</f>
        <v>0</v>
      </c>
      <c r="R16" s="87"/>
      <c r="S16" s="144"/>
      <c r="T16" s="38">
        <f>IFERROR(VLOOKUP($A16,'Wikia | Gehege'!$A:$AL,17,FALSE)+(($S16-1)*$F16),0)</f>
        <v>250</v>
      </c>
      <c r="U16" s="38">
        <f>IFERROR(VLOOKUP($A16,'Wikia | Gehege'!$A:$AL,18,FALSE)+(($S16-1)*$G16),0)</f>
        <v>0</v>
      </c>
      <c r="V16" s="38">
        <f>IFERROR(VLOOKUP($A16,'Wikia | Gehege'!$A:$AL,19,FALSE)+(($S16-1)*$H16),0)</f>
        <v>50</v>
      </c>
      <c r="W16" s="85">
        <f>IFERROR(VLOOKUP($A16,'Wikia | Gehege'!$A:$AL,20,FALSE)+(($S16-1)*$I16),0)</f>
        <v>0</v>
      </c>
      <c r="X16" s="87"/>
    </row>
    <row r="17" spans="1:24" ht="35.1" customHeight="1" x14ac:dyDescent="0.2">
      <c r="A17" s="140" t="str">
        <f>'Wikia | Gehege'!A17</f>
        <v>Binturong</v>
      </c>
      <c r="B17" s="141">
        <v>200</v>
      </c>
      <c r="C17" s="142">
        <v>56</v>
      </c>
      <c r="D17" s="142">
        <v>0</v>
      </c>
      <c r="E17" s="143">
        <v>0</v>
      </c>
      <c r="F17" s="35">
        <f>IFERROR(B17-VLOOKUP($A17,'Wikia | Gehege'!$A:$AL,17,FALSE),0)</f>
        <v>18</v>
      </c>
      <c r="G17" s="36">
        <f>IFERROR(C17-VLOOKUP($A17,'Wikia | Gehege'!$A:$AL,18,FALSE),0)</f>
        <v>16</v>
      </c>
      <c r="H17" s="36">
        <f>IFERROR(D17-VLOOKUP($A17,'Wikia | Gehege'!$A:$AL,19,FALSE),0)</f>
        <v>0</v>
      </c>
      <c r="I17" s="37">
        <f>IFERROR(E17-VLOOKUP($A17,'Wikia | Gehege'!$A:$AL,20,FALSE),0)</f>
        <v>0</v>
      </c>
      <c r="J17" s="35">
        <f>IFERROR(IF(VLOOKUP($A17,'Wikia | Gehege'!$A:$AL,26,FALSE)=1,VLOOKUP($A17,'Wikia | Gehege'!$A:$AL,17,FALSE),VLOOKUP($A17,'Wikia | Gehege'!$A:$AL,17,FALSE)+VLOOKUP($A17,'Wikia | Gehege'!$A:$AL,26,FALSE)*($F17)-1*$F17),0)</f>
        <v>200</v>
      </c>
      <c r="K17" s="36">
        <f>IFERROR(IF(VLOOKUP($A17,'Wikia | Gehege'!$A:$AL,26,FALSE)=1,VLOOKUP($A17,'Wikia | Gehege'!$A:$AL,18,FALSE),VLOOKUP($A17,'Wikia | Gehege'!$A:$AL,18,FALSE)+VLOOKUP($A17,'Wikia | Gehege'!$A:$AL,26,FALSE)*($G17)-1*$G17),0)</f>
        <v>56</v>
      </c>
      <c r="L17" s="36">
        <f>IFERROR(IF(VLOOKUP($A17,'Wikia | Gehege'!$A:$AL,26,FALSE)=1,VLOOKUP($A17,'Wikia | Gehege'!$A:$AL,19,FALSE),VLOOKUP($A17,'Wikia | Gehege'!$A:$AL,19,FALSE)+VLOOKUP($A17,'Wikia | Gehege'!$A:$AL,26,FALSE)*($H17)-1*$H17),0)</f>
        <v>0</v>
      </c>
      <c r="M17" s="37">
        <f>IFERROR(IF(VLOOKUP($A17,'Wikia | Gehege'!$A:$AL,26,FALSE)=1,VLOOKUP($A17,'Wikia | Gehege'!$A:$AL,20,FALSE),VLOOKUP($A17,'Wikia | Gehege'!$A:$AL,20,FALSE)+VLOOKUP($A17,'Wikia | Gehege'!$A:$AL,26,FALSE)*($I17)-1*$I17),0)</f>
        <v>0</v>
      </c>
      <c r="N17" s="35">
        <f>IFERROR(IF(VLOOKUP($A17,'Wikia | Gehege'!$A:$AL,27,FALSE)=1,VLOOKUP($A17,'Wikia | Gehege'!$A:$AL,17,FALSE),VLOOKUP($A17,'Wikia | Gehege'!$A:$AL,17,FALSE)+VLOOKUP($A17,'Wikia | Gehege'!$A:$AL,27,FALSE)*($F17)-1*$F17),0)</f>
        <v>254</v>
      </c>
      <c r="O17" s="36">
        <f>IFERROR(IF(VLOOKUP($A17,'Wikia | Gehege'!$A:$AL,27,FALSE)=1,VLOOKUP($A17,'Wikia | Gehege'!$A:$AL,18,FALSE),VLOOKUP($A17,'Wikia | Gehege'!$A:$AL,18,FALSE)+VLOOKUP($A17,'Wikia | Gehege'!$A:$AL,27,FALSE)*($G17)-1*$G17),0)</f>
        <v>104</v>
      </c>
      <c r="P17" s="36">
        <f>IFERROR(IF(VLOOKUP($A17,'Wikia | Gehege'!$A:$AL,27,FALSE)=1,VLOOKUP($A17,'Wikia | Gehege'!$A:$AL,19,FALSE),VLOOKUP($A17,'Wikia | Gehege'!$A:$AL,19,FALSE)+VLOOKUP($A17,'Wikia | Gehege'!$A:$AL,27,FALSE)*($H17)-1*$H17),0)</f>
        <v>0</v>
      </c>
      <c r="Q17" s="37">
        <f>IFERROR(IF(VLOOKUP($A17,'Wikia | Gehege'!$A:$AL,27,FALSE)=1,VLOOKUP($A17,'Wikia | Gehege'!$A:$AL,20,FALSE),VLOOKUP($A17,'Wikia | Gehege'!$A:$AL,20,FALSE)+VLOOKUP($A17,'Wikia | Gehege'!$A:$AL,27,FALSE)*($I17)-1*$I17),0)</f>
        <v>0</v>
      </c>
      <c r="R17" s="87"/>
      <c r="S17" s="144"/>
      <c r="T17" s="38">
        <f>IFERROR(VLOOKUP($A17,'Wikia | Gehege'!$A:$AL,17,FALSE)+(($S17-1)*$F17),0)</f>
        <v>164</v>
      </c>
      <c r="U17" s="38">
        <f>IFERROR(VLOOKUP($A17,'Wikia | Gehege'!$A:$AL,18,FALSE)+(($S17-1)*$G17),0)</f>
        <v>24</v>
      </c>
      <c r="V17" s="38">
        <f>IFERROR(VLOOKUP($A17,'Wikia | Gehege'!$A:$AL,19,FALSE)+(($S17-1)*$H17),0)</f>
        <v>0</v>
      </c>
      <c r="W17" s="85">
        <f>IFERROR(VLOOKUP($A17,'Wikia | Gehege'!$A:$AL,20,FALSE)+(($S17-1)*$I17),0)</f>
        <v>0</v>
      </c>
      <c r="X17" s="87"/>
    </row>
    <row r="18" spans="1:24" ht="35.1" customHeight="1" x14ac:dyDescent="0.2">
      <c r="A18" s="140" t="str">
        <f>'Wikia | Gehege'!A18</f>
        <v xml:space="preserve">Blauer Pfau </v>
      </c>
      <c r="B18" s="141">
        <v>324</v>
      </c>
      <c r="C18" s="142">
        <v>0</v>
      </c>
      <c r="D18" s="142">
        <v>0</v>
      </c>
      <c r="E18" s="143">
        <v>0</v>
      </c>
      <c r="F18" s="35">
        <f>IFERROR(B18-VLOOKUP($A18,'Wikia | Gehege'!$A:$AL,17,FALSE),0)</f>
        <v>12</v>
      </c>
      <c r="G18" s="36">
        <f>IFERROR(C18-VLOOKUP($A18,'Wikia | Gehege'!$A:$AL,18,FALSE),0)</f>
        <v>0</v>
      </c>
      <c r="H18" s="36">
        <f>IFERROR(D18-VLOOKUP($A18,'Wikia | Gehege'!$A:$AL,19,FALSE),0)</f>
        <v>0</v>
      </c>
      <c r="I18" s="37">
        <f>IFERROR(E18-VLOOKUP($A18,'Wikia | Gehege'!$A:$AL,20,FALSE),0)</f>
        <v>0</v>
      </c>
      <c r="J18" s="35">
        <f>IFERROR(IF(VLOOKUP($A18,'Wikia | Gehege'!$A:$AL,26,FALSE)=1,VLOOKUP($A18,'Wikia | Gehege'!$A:$AL,17,FALSE),VLOOKUP($A18,'Wikia | Gehege'!$A:$AL,17,FALSE)+VLOOKUP($A18,'Wikia | Gehege'!$A:$AL,26,FALSE)*($F18)-1*$F18),0)</f>
        <v>348</v>
      </c>
      <c r="K18" s="36">
        <f>IFERROR(IF(VLOOKUP($A18,'Wikia | Gehege'!$A:$AL,26,FALSE)=1,VLOOKUP($A18,'Wikia | Gehege'!$A:$AL,18,FALSE),VLOOKUP($A18,'Wikia | Gehege'!$A:$AL,18,FALSE)+VLOOKUP($A18,'Wikia | Gehege'!$A:$AL,26,FALSE)*($G18)-1*$G18),0)</f>
        <v>0</v>
      </c>
      <c r="L18" s="36">
        <f>IFERROR(IF(VLOOKUP($A18,'Wikia | Gehege'!$A:$AL,26,FALSE)=1,VLOOKUP($A18,'Wikia | Gehege'!$A:$AL,19,FALSE),VLOOKUP($A18,'Wikia | Gehege'!$A:$AL,19,FALSE)+VLOOKUP($A18,'Wikia | Gehege'!$A:$AL,26,FALSE)*($H18)-1*$H18),0)</f>
        <v>0</v>
      </c>
      <c r="M18" s="37">
        <f>IFERROR(IF(VLOOKUP($A18,'Wikia | Gehege'!$A:$AL,26,FALSE)=1,VLOOKUP($A18,'Wikia | Gehege'!$A:$AL,20,FALSE),VLOOKUP($A18,'Wikia | Gehege'!$A:$AL,20,FALSE)+VLOOKUP($A18,'Wikia | Gehege'!$A:$AL,26,FALSE)*($I18)-1*$I18),0)</f>
        <v>0</v>
      </c>
      <c r="N18" s="35">
        <f>IFERROR(IF(VLOOKUP($A18,'Wikia | Gehege'!$A:$AL,27,FALSE)=1,VLOOKUP($A18,'Wikia | Gehege'!$A:$AL,17,FALSE),VLOOKUP($A18,'Wikia | Gehege'!$A:$AL,17,FALSE)+VLOOKUP($A18,'Wikia | Gehege'!$A:$AL,27,FALSE)*($F18)-1*$F18),0)</f>
        <v>540</v>
      </c>
      <c r="O18" s="36">
        <f>IFERROR(IF(VLOOKUP($A18,'Wikia | Gehege'!$A:$AL,27,FALSE)=1,VLOOKUP($A18,'Wikia | Gehege'!$A:$AL,18,FALSE),VLOOKUP($A18,'Wikia | Gehege'!$A:$AL,18,FALSE)+VLOOKUP($A18,'Wikia | Gehege'!$A:$AL,27,FALSE)*($G18)-1*$G18),0)</f>
        <v>0</v>
      </c>
      <c r="P18" s="36">
        <f>IFERROR(IF(VLOOKUP($A18,'Wikia | Gehege'!$A:$AL,27,FALSE)=1,VLOOKUP($A18,'Wikia | Gehege'!$A:$AL,19,FALSE),VLOOKUP($A18,'Wikia | Gehege'!$A:$AL,19,FALSE)+VLOOKUP($A18,'Wikia | Gehege'!$A:$AL,27,FALSE)*($H18)-1*$H18),0)</f>
        <v>0</v>
      </c>
      <c r="Q18" s="37">
        <f>IFERROR(IF(VLOOKUP($A18,'Wikia | Gehege'!$A:$AL,27,FALSE)=1,VLOOKUP($A18,'Wikia | Gehege'!$A:$AL,20,FALSE),VLOOKUP($A18,'Wikia | Gehege'!$A:$AL,20,FALSE)+VLOOKUP($A18,'Wikia | Gehege'!$A:$AL,27,FALSE)*($I18)-1*$I18),0)</f>
        <v>0</v>
      </c>
      <c r="R18" s="87"/>
      <c r="S18" s="144"/>
      <c r="T18" s="38">
        <f>IFERROR(VLOOKUP($A18,'Wikia | Gehege'!$A:$AL,17,FALSE)+(($S18-1)*$F18),0)</f>
        <v>300</v>
      </c>
      <c r="U18" s="38">
        <f>IFERROR(VLOOKUP($A18,'Wikia | Gehege'!$A:$AL,18,FALSE)+(($S18-1)*$G18),0)</f>
        <v>0</v>
      </c>
      <c r="V18" s="38">
        <f>IFERROR(VLOOKUP($A18,'Wikia | Gehege'!$A:$AL,19,FALSE)+(($S18-1)*$H18),0)</f>
        <v>0</v>
      </c>
      <c r="W18" s="85">
        <f>IFERROR(VLOOKUP($A18,'Wikia | Gehege'!$A:$AL,20,FALSE)+(($S18-1)*$I18),0)</f>
        <v>0</v>
      </c>
      <c r="X18" s="87"/>
    </row>
    <row r="19" spans="1:24" ht="35.1" customHeight="1" x14ac:dyDescent="0.2">
      <c r="A19" s="140" t="str">
        <f>'Wikia | Gehege'!A19</f>
        <v xml:space="preserve">Bongo </v>
      </c>
      <c r="B19" s="141">
        <v>270</v>
      </c>
      <c r="C19" s="142">
        <v>0</v>
      </c>
      <c r="D19" s="142">
        <v>0</v>
      </c>
      <c r="E19" s="143">
        <v>0</v>
      </c>
      <c r="F19" s="35">
        <f>IFERROR(B19-VLOOKUP($A19,'Wikia | Gehege'!$A:$AL,17,FALSE),0)</f>
        <v>30</v>
      </c>
      <c r="G19" s="36">
        <f>IFERROR(C19-VLOOKUP($A19,'Wikia | Gehege'!$A:$AL,18,FALSE),0)</f>
        <v>0</v>
      </c>
      <c r="H19" s="36">
        <f>IFERROR(D19-VLOOKUP($A19,'Wikia | Gehege'!$A:$AL,19,FALSE),0)</f>
        <v>0</v>
      </c>
      <c r="I19" s="37">
        <f>IFERROR(E19-VLOOKUP($A19,'Wikia | Gehege'!$A:$AL,20,FALSE),0)</f>
        <v>0</v>
      </c>
      <c r="J19" s="35">
        <f>IFERROR(IF(VLOOKUP($A19,'Wikia | Gehege'!$A:$AL,26,FALSE)=1,VLOOKUP($A19,'Wikia | Gehege'!$A:$AL,17,FALSE),VLOOKUP($A19,'Wikia | Gehege'!$A:$AL,17,FALSE)+VLOOKUP($A19,'Wikia | Gehege'!$A:$AL,26,FALSE)*($F19)-1*$F19),0)</f>
        <v>240</v>
      </c>
      <c r="K19" s="36">
        <f>IFERROR(IF(VLOOKUP($A19,'Wikia | Gehege'!$A:$AL,26,FALSE)=1,VLOOKUP($A19,'Wikia | Gehege'!$A:$AL,18,FALSE),VLOOKUP($A19,'Wikia | Gehege'!$A:$AL,18,FALSE)+VLOOKUP($A19,'Wikia | Gehege'!$A:$AL,26,FALSE)*($G19)-1*$G19),0)</f>
        <v>0</v>
      </c>
      <c r="L19" s="36">
        <f>IFERROR(IF(VLOOKUP($A19,'Wikia | Gehege'!$A:$AL,26,FALSE)=1,VLOOKUP($A19,'Wikia | Gehege'!$A:$AL,19,FALSE),VLOOKUP($A19,'Wikia | Gehege'!$A:$AL,19,FALSE)+VLOOKUP($A19,'Wikia | Gehege'!$A:$AL,26,FALSE)*($H19)-1*$H19),0)</f>
        <v>0</v>
      </c>
      <c r="M19" s="37">
        <f>IFERROR(IF(VLOOKUP($A19,'Wikia | Gehege'!$A:$AL,26,FALSE)=1,VLOOKUP($A19,'Wikia | Gehege'!$A:$AL,20,FALSE),VLOOKUP($A19,'Wikia | Gehege'!$A:$AL,20,FALSE)+VLOOKUP($A19,'Wikia | Gehege'!$A:$AL,26,FALSE)*($I19)-1*$I19),0)</f>
        <v>0</v>
      </c>
      <c r="N19" s="35">
        <f>IFERROR(IF(VLOOKUP($A19,'Wikia | Gehege'!$A:$AL,27,FALSE)=1,VLOOKUP($A19,'Wikia | Gehege'!$A:$AL,17,FALSE),VLOOKUP($A19,'Wikia | Gehege'!$A:$AL,17,FALSE)+VLOOKUP($A19,'Wikia | Gehege'!$A:$AL,27,FALSE)*($F19)-1*$F19),0)</f>
        <v>360</v>
      </c>
      <c r="O19" s="36">
        <f>IFERROR(IF(VLOOKUP($A19,'Wikia | Gehege'!$A:$AL,27,FALSE)=1,VLOOKUP($A19,'Wikia | Gehege'!$A:$AL,18,FALSE),VLOOKUP($A19,'Wikia | Gehege'!$A:$AL,18,FALSE)+VLOOKUP($A19,'Wikia | Gehege'!$A:$AL,27,FALSE)*($G19)-1*$G19),0)</f>
        <v>0</v>
      </c>
      <c r="P19" s="36">
        <f>IFERROR(IF(VLOOKUP($A19,'Wikia | Gehege'!$A:$AL,27,FALSE)=1,VLOOKUP($A19,'Wikia | Gehege'!$A:$AL,19,FALSE),VLOOKUP($A19,'Wikia | Gehege'!$A:$AL,19,FALSE)+VLOOKUP($A19,'Wikia | Gehege'!$A:$AL,27,FALSE)*($H19)-1*$H19),0)</f>
        <v>0</v>
      </c>
      <c r="Q19" s="37">
        <f>IFERROR(IF(VLOOKUP($A19,'Wikia | Gehege'!$A:$AL,27,FALSE)=1,VLOOKUP($A19,'Wikia | Gehege'!$A:$AL,20,FALSE),VLOOKUP($A19,'Wikia | Gehege'!$A:$AL,20,FALSE)+VLOOKUP($A19,'Wikia | Gehege'!$A:$AL,27,FALSE)*($I19)-1*$I19),0)</f>
        <v>0</v>
      </c>
      <c r="R19" s="87"/>
      <c r="S19" s="144"/>
      <c r="T19" s="38">
        <f>IFERROR(VLOOKUP($A19,'Wikia | Gehege'!$A:$AL,17,FALSE)+(($S19-1)*$F19),0)</f>
        <v>210</v>
      </c>
      <c r="U19" s="38">
        <f>IFERROR(VLOOKUP($A19,'Wikia | Gehege'!$A:$AL,18,FALSE)+(($S19-1)*$G19),0)</f>
        <v>0</v>
      </c>
      <c r="V19" s="38">
        <f>IFERROR(VLOOKUP($A19,'Wikia | Gehege'!$A:$AL,19,FALSE)+(($S19-1)*$H19),0)</f>
        <v>0</v>
      </c>
      <c r="W19" s="85">
        <f>IFERROR(VLOOKUP($A19,'Wikia | Gehege'!$A:$AL,20,FALSE)+(($S19-1)*$I19),0)</f>
        <v>0</v>
      </c>
      <c r="X19" s="87"/>
    </row>
    <row r="20" spans="1:24" ht="35.1" customHeight="1" x14ac:dyDescent="0.2">
      <c r="A20" s="140" t="str">
        <f>'Wikia | Gehege'!A20</f>
        <v xml:space="preserve">Bonobo </v>
      </c>
      <c r="B20" s="141">
        <v>830</v>
      </c>
      <c r="C20" s="142">
        <v>110</v>
      </c>
      <c r="D20" s="142">
        <v>0</v>
      </c>
      <c r="E20" s="143">
        <v>0</v>
      </c>
      <c r="F20" s="35">
        <f>IFERROR(B20-VLOOKUP($A20,'Wikia | Gehege'!$A:$AL,17,FALSE),0)</f>
        <v>50</v>
      </c>
      <c r="G20" s="36">
        <f>IFERROR(C20-VLOOKUP($A20,'Wikia | Gehege'!$A:$AL,18,FALSE),0)</f>
        <v>30</v>
      </c>
      <c r="H20" s="36">
        <f>IFERROR(D20-VLOOKUP($A20,'Wikia | Gehege'!$A:$AL,19,FALSE),0)</f>
        <v>0</v>
      </c>
      <c r="I20" s="37">
        <f>IFERROR(E20-VLOOKUP($A20,'Wikia | Gehege'!$A:$AL,20,FALSE),0)</f>
        <v>0</v>
      </c>
      <c r="J20" s="35">
        <f>IFERROR(IF(VLOOKUP($A20,'Wikia | Gehege'!$A:$AL,26,FALSE)=1,VLOOKUP($A20,'Wikia | Gehege'!$A:$AL,17,FALSE),VLOOKUP($A20,'Wikia | Gehege'!$A:$AL,17,FALSE)+VLOOKUP($A20,'Wikia | Gehege'!$A:$AL,26,FALSE)*($F20)-1*$F20),0)</f>
        <v>880</v>
      </c>
      <c r="K20" s="36">
        <f>IFERROR(IF(VLOOKUP($A20,'Wikia | Gehege'!$A:$AL,26,FALSE)=1,VLOOKUP($A20,'Wikia | Gehege'!$A:$AL,18,FALSE),VLOOKUP($A20,'Wikia | Gehege'!$A:$AL,18,FALSE)+VLOOKUP($A20,'Wikia | Gehege'!$A:$AL,26,FALSE)*($G20)-1*$G20),0)</f>
        <v>140</v>
      </c>
      <c r="L20" s="36">
        <f>IFERROR(IF(VLOOKUP($A20,'Wikia | Gehege'!$A:$AL,26,FALSE)=1,VLOOKUP($A20,'Wikia | Gehege'!$A:$AL,19,FALSE),VLOOKUP($A20,'Wikia | Gehege'!$A:$AL,19,FALSE)+VLOOKUP($A20,'Wikia | Gehege'!$A:$AL,26,FALSE)*($H20)-1*$H20),0)</f>
        <v>0</v>
      </c>
      <c r="M20" s="37">
        <f>IFERROR(IF(VLOOKUP($A20,'Wikia | Gehege'!$A:$AL,26,FALSE)=1,VLOOKUP($A20,'Wikia | Gehege'!$A:$AL,20,FALSE),VLOOKUP($A20,'Wikia | Gehege'!$A:$AL,20,FALSE)+VLOOKUP($A20,'Wikia | Gehege'!$A:$AL,26,FALSE)*($I20)-1*$I20),0)</f>
        <v>0</v>
      </c>
      <c r="N20" s="35">
        <f>IFERROR(IF(VLOOKUP($A20,'Wikia | Gehege'!$A:$AL,27,FALSE)=1,VLOOKUP($A20,'Wikia | Gehege'!$A:$AL,17,FALSE),VLOOKUP($A20,'Wikia | Gehege'!$A:$AL,17,FALSE)+VLOOKUP($A20,'Wikia | Gehege'!$A:$AL,27,FALSE)*($F20)-1*$F20),0)</f>
        <v>1230</v>
      </c>
      <c r="O20" s="36">
        <f>IFERROR(IF(VLOOKUP($A20,'Wikia | Gehege'!$A:$AL,27,FALSE)=1,VLOOKUP($A20,'Wikia | Gehege'!$A:$AL,18,FALSE),VLOOKUP($A20,'Wikia | Gehege'!$A:$AL,18,FALSE)+VLOOKUP($A20,'Wikia | Gehege'!$A:$AL,27,FALSE)*($G20)-1*$G20),0)</f>
        <v>350</v>
      </c>
      <c r="P20" s="36">
        <f>IFERROR(IF(VLOOKUP($A20,'Wikia | Gehege'!$A:$AL,27,FALSE)=1,VLOOKUP($A20,'Wikia | Gehege'!$A:$AL,19,FALSE),VLOOKUP($A20,'Wikia | Gehege'!$A:$AL,19,FALSE)+VLOOKUP($A20,'Wikia | Gehege'!$A:$AL,27,FALSE)*($H20)-1*$H20),0)</f>
        <v>0</v>
      </c>
      <c r="Q20" s="37">
        <f>IFERROR(IF(VLOOKUP($A20,'Wikia | Gehege'!$A:$AL,27,FALSE)=1,VLOOKUP($A20,'Wikia | Gehege'!$A:$AL,20,FALSE),VLOOKUP($A20,'Wikia | Gehege'!$A:$AL,20,FALSE)+VLOOKUP($A20,'Wikia | Gehege'!$A:$AL,27,FALSE)*($I20)-1*$I20),0)</f>
        <v>0</v>
      </c>
      <c r="R20" s="87"/>
      <c r="S20" s="144"/>
      <c r="T20" s="38">
        <f>IFERROR(VLOOKUP($A20,'Wikia | Gehege'!$A:$AL,17,FALSE)+(($S20-1)*$F20),0)</f>
        <v>730</v>
      </c>
      <c r="U20" s="38">
        <f>IFERROR(VLOOKUP($A20,'Wikia | Gehege'!$A:$AL,18,FALSE)+(($S20-1)*$G20),0)</f>
        <v>50</v>
      </c>
      <c r="V20" s="38">
        <f>IFERROR(VLOOKUP($A20,'Wikia | Gehege'!$A:$AL,19,FALSE)+(($S20-1)*$H20),0)</f>
        <v>0</v>
      </c>
      <c r="W20" s="85">
        <f>IFERROR(VLOOKUP($A20,'Wikia | Gehege'!$A:$AL,20,FALSE)+(($S20-1)*$I20),0)</f>
        <v>0</v>
      </c>
      <c r="X20" s="87"/>
    </row>
    <row r="21" spans="1:24" ht="35.1" customHeight="1" x14ac:dyDescent="0.2">
      <c r="A21" s="140" t="str">
        <f>'Wikia | Gehege'!A21</f>
        <v xml:space="preserve">Borneo-Orang-Utan </v>
      </c>
      <c r="B21" s="35">
        <v>830</v>
      </c>
      <c r="C21" s="36">
        <v>160</v>
      </c>
      <c r="D21" s="36">
        <v>0</v>
      </c>
      <c r="E21" s="37">
        <v>0</v>
      </c>
      <c r="F21" s="35">
        <f>IFERROR(B21-VLOOKUP($A21,'Wikia | Gehege'!$A:$AL,17,FALSE),0)</f>
        <v>50</v>
      </c>
      <c r="G21" s="36">
        <f>IFERROR(C21-VLOOKUP($A21,'Wikia | Gehege'!$A:$AL,18,FALSE),0)</f>
        <v>40</v>
      </c>
      <c r="H21" s="36">
        <f>IFERROR(D21-VLOOKUP($A21,'Wikia | Gehege'!$A:$AL,19,FALSE),0)</f>
        <v>0</v>
      </c>
      <c r="I21" s="37">
        <f>IFERROR(E21-VLOOKUP($A21,'Wikia | Gehege'!$A:$AL,20,FALSE),0)</f>
        <v>0</v>
      </c>
      <c r="J21" s="35">
        <f>IFERROR(IF(VLOOKUP($A21,'Wikia | Gehege'!$A:$AL,26,FALSE)=1,VLOOKUP($A21,'Wikia | Gehege'!$A:$AL,17,FALSE),VLOOKUP($A21,'Wikia | Gehege'!$A:$AL,17,FALSE)+VLOOKUP($A21,'Wikia | Gehege'!$A:$AL,26,FALSE)*($F21)-1*$F21),0)</f>
        <v>780</v>
      </c>
      <c r="K21" s="36">
        <f>IFERROR(IF(VLOOKUP($A21,'Wikia | Gehege'!$A:$AL,26,FALSE)=1,VLOOKUP($A21,'Wikia | Gehege'!$A:$AL,18,FALSE),VLOOKUP($A21,'Wikia | Gehege'!$A:$AL,18,FALSE)+VLOOKUP($A21,'Wikia | Gehege'!$A:$AL,26,FALSE)*($G21)-1*$G21),0)</f>
        <v>120</v>
      </c>
      <c r="L21" s="36">
        <f>IFERROR(IF(VLOOKUP($A21,'Wikia | Gehege'!$A:$AL,26,FALSE)=1,VLOOKUP($A21,'Wikia | Gehege'!$A:$AL,19,FALSE),VLOOKUP($A21,'Wikia | Gehege'!$A:$AL,19,FALSE)+VLOOKUP($A21,'Wikia | Gehege'!$A:$AL,26,FALSE)*($H21)-1*$H21),0)</f>
        <v>0</v>
      </c>
      <c r="M21" s="37">
        <f>IFERROR(IF(VLOOKUP($A21,'Wikia | Gehege'!$A:$AL,26,FALSE)=1,VLOOKUP($A21,'Wikia | Gehege'!$A:$AL,20,FALSE),VLOOKUP($A21,'Wikia | Gehege'!$A:$AL,20,FALSE)+VLOOKUP($A21,'Wikia | Gehege'!$A:$AL,26,FALSE)*($I21)-1*$I21),0)</f>
        <v>0</v>
      </c>
      <c r="N21" s="35">
        <f>IFERROR(IF(VLOOKUP($A21,'Wikia | Gehege'!$A:$AL,27,FALSE)=1,VLOOKUP($A21,'Wikia | Gehege'!$A:$AL,17,FALSE),VLOOKUP($A21,'Wikia | Gehege'!$A:$AL,17,FALSE)+VLOOKUP($A21,'Wikia | Gehege'!$A:$AL,27,FALSE)*($F21)-1*$F21),0)</f>
        <v>1030</v>
      </c>
      <c r="O21" s="36">
        <f>IFERROR(IF(VLOOKUP($A21,'Wikia | Gehege'!$A:$AL,27,FALSE)=1,VLOOKUP($A21,'Wikia | Gehege'!$A:$AL,18,FALSE),VLOOKUP($A21,'Wikia | Gehege'!$A:$AL,18,FALSE)+VLOOKUP($A21,'Wikia | Gehege'!$A:$AL,27,FALSE)*($G21)-1*$G21),0)</f>
        <v>320</v>
      </c>
      <c r="P21" s="36">
        <f>IFERROR(IF(VLOOKUP($A21,'Wikia | Gehege'!$A:$AL,27,FALSE)=1,VLOOKUP($A21,'Wikia | Gehege'!$A:$AL,19,FALSE),VLOOKUP($A21,'Wikia | Gehege'!$A:$AL,19,FALSE)+VLOOKUP($A21,'Wikia | Gehege'!$A:$AL,27,FALSE)*($H21)-1*$H21),0)</f>
        <v>0</v>
      </c>
      <c r="Q21" s="37">
        <f>IFERROR(IF(VLOOKUP($A21,'Wikia | Gehege'!$A:$AL,27,FALSE)=1,VLOOKUP($A21,'Wikia | Gehege'!$A:$AL,20,FALSE),VLOOKUP($A21,'Wikia | Gehege'!$A:$AL,20,FALSE)+VLOOKUP($A21,'Wikia | Gehege'!$A:$AL,27,FALSE)*($I21)-1*$I21),0)</f>
        <v>0</v>
      </c>
      <c r="R21" s="87"/>
      <c r="S21" s="94"/>
      <c r="T21" s="38">
        <f>IFERROR(VLOOKUP($A21,'Wikia | Gehege'!$A:$AL,17,FALSE)+(($S21-1)*$F21),0)</f>
        <v>730</v>
      </c>
      <c r="U21" s="38">
        <f>IFERROR(VLOOKUP($A21,'Wikia | Gehege'!$A:$AL,18,FALSE)+(($S21-1)*$G21),0)</f>
        <v>80</v>
      </c>
      <c r="V21" s="38">
        <f>IFERROR(VLOOKUP($A21,'Wikia | Gehege'!$A:$AL,19,FALSE)+(($S21-1)*$H21),0)</f>
        <v>0</v>
      </c>
      <c r="W21" s="85">
        <f>IFERROR(VLOOKUP($A21,'Wikia | Gehege'!$A:$AL,20,FALSE)+(($S21-1)*$I21),0)</f>
        <v>0</v>
      </c>
      <c r="X21" s="87"/>
    </row>
    <row r="22" spans="1:24" ht="35.1" customHeight="1" x14ac:dyDescent="0.2">
      <c r="A22" s="140" t="str">
        <f>'Wikia | Gehege'!A22</f>
        <v>Brauen-Glattstirnkaiman</v>
      </c>
      <c r="B22" s="35">
        <v>200</v>
      </c>
      <c r="C22" s="36">
        <v>0</v>
      </c>
      <c r="D22" s="36">
        <v>95</v>
      </c>
      <c r="E22" s="37">
        <v>0</v>
      </c>
      <c r="F22" s="35">
        <f>IFERROR(B22-VLOOKUP($A22,'Wikia | Gehege'!$A:$AL,17,FALSE),0)</f>
        <v>18</v>
      </c>
      <c r="G22" s="36">
        <f>IFERROR(C22-VLOOKUP($A22,'Wikia | Gehege'!$A:$AL,18,FALSE),0)</f>
        <v>0</v>
      </c>
      <c r="H22" s="36">
        <f>IFERROR(D22-VLOOKUP($A22,'Wikia | Gehege'!$A:$AL,19,FALSE),0)</f>
        <v>16</v>
      </c>
      <c r="I22" s="37">
        <f>IFERROR(E22-VLOOKUP($A22,'Wikia | Gehege'!$A:$AL,20,FALSE),0)</f>
        <v>0</v>
      </c>
      <c r="J22" s="35">
        <f>IFERROR(IF(VLOOKUP($A22,'Wikia | Gehege'!$A:$AL,26,FALSE)=1,VLOOKUP($A22,'Wikia | Gehege'!$A:$AL,17,FALSE),VLOOKUP($A22,'Wikia | Gehege'!$A:$AL,17,FALSE)+VLOOKUP($A22,'Wikia | Gehege'!$A:$AL,26,FALSE)*($F22)-1*$F22),0)</f>
        <v>182</v>
      </c>
      <c r="K22" s="36">
        <f>IFERROR(IF(VLOOKUP($A22,'Wikia | Gehege'!$A:$AL,26,FALSE)=1,VLOOKUP($A22,'Wikia | Gehege'!$A:$AL,18,FALSE),VLOOKUP($A22,'Wikia | Gehege'!$A:$AL,18,FALSE)+VLOOKUP($A22,'Wikia | Gehege'!$A:$AL,26,FALSE)*($G22)-1*$G22),0)</f>
        <v>0</v>
      </c>
      <c r="L22" s="36">
        <f>IFERROR(IF(VLOOKUP($A22,'Wikia | Gehege'!$A:$AL,26,FALSE)=1,VLOOKUP($A22,'Wikia | Gehege'!$A:$AL,19,FALSE),VLOOKUP($A22,'Wikia | Gehege'!$A:$AL,19,FALSE)+VLOOKUP($A22,'Wikia | Gehege'!$A:$AL,26,FALSE)*($H22)-1*$H22),0)</f>
        <v>79</v>
      </c>
      <c r="M22" s="37">
        <f>IFERROR(IF(VLOOKUP($A22,'Wikia | Gehege'!$A:$AL,26,FALSE)=1,VLOOKUP($A22,'Wikia | Gehege'!$A:$AL,20,FALSE),VLOOKUP($A22,'Wikia | Gehege'!$A:$AL,20,FALSE)+VLOOKUP($A22,'Wikia | Gehege'!$A:$AL,26,FALSE)*($I22)-1*$I22),0)</f>
        <v>0</v>
      </c>
      <c r="N22" s="35">
        <f>IFERROR(IF(VLOOKUP($A22,'Wikia | Gehege'!$A:$AL,27,FALSE)=1,VLOOKUP($A22,'Wikia | Gehege'!$A:$AL,17,FALSE),VLOOKUP($A22,'Wikia | Gehege'!$A:$AL,17,FALSE)+VLOOKUP($A22,'Wikia | Gehege'!$A:$AL,27,FALSE)*($F22)-1*$F22),0)</f>
        <v>200</v>
      </c>
      <c r="O22" s="36">
        <f>IFERROR(IF(VLOOKUP($A22,'Wikia | Gehege'!$A:$AL,27,FALSE)=1,VLOOKUP($A22,'Wikia | Gehege'!$A:$AL,18,FALSE),VLOOKUP($A22,'Wikia | Gehege'!$A:$AL,18,FALSE)+VLOOKUP($A22,'Wikia | Gehege'!$A:$AL,27,FALSE)*($G22)-1*$G22),0)</f>
        <v>0</v>
      </c>
      <c r="P22" s="36">
        <f>IFERROR(IF(VLOOKUP($A22,'Wikia | Gehege'!$A:$AL,27,FALSE)=1,VLOOKUP($A22,'Wikia | Gehege'!$A:$AL,19,FALSE),VLOOKUP($A22,'Wikia | Gehege'!$A:$AL,19,FALSE)+VLOOKUP($A22,'Wikia | Gehege'!$A:$AL,27,FALSE)*($H22)-1*$H22),0)</f>
        <v>95</v>
      </c>
      <c r="Q22" s="37">
        <f>IFERROR(IF(VLOOKUP($A22,'Wikia | Gehege'!$A:$AL,27,FALSE)=1,VLOOKUP($A22,'Wikia | Gehege'!$A:$AL,20,FALSE),VLOOKUP($A22,'Wikia | Gehege'!$A:$AL,20,FALSE)+VLOOKUP($A22,'Wikia | Gehege'!$A:$AL,27,FALSE)*($I22)-1*$I22),0)</f>
        <v>0</v>
      </c>
      <c r="R22" s="87"/>
      <c r="S22" s="94"/>
      <c r="T22" s="38">
        <f>IFERROR(VLOOKUP($A22,'Wikia | Gehege'!$A:$AL,17,FALSE)+(($S22-1)*$F22),0)</f>
        <v>164</v>
      </c>
      <c r="U22" s="38">
        <f>IFERROR(VLOOKUP($A22,'Wikia | Gehege'!$A:$AL,18,FALSE)+(($S22-1)*$G22),0)</f>
        <v>0</v>
      </c>
      <c r="V22" s="38">
        <f>IFERROR(VLOOKUP($A22,'Wikia | Gehege'!$A:$AL,19,FALSE)+(($S22-1)*$H22),0)</f>
        <v>63</v>
      </c>
      <c r="W22" s="85">
        <f>IFERROR(VLOOKUP($A22,'Wikia | Gehege'!$A:$AL,20,FALSE)+(($S22-1)*$I22),0)</f>
        <v>0</v>
      </c>
      <c r="X22" s="87"/>
    </row>
    <row r="23" spans="1:24" ht="35.1" customHeight="1" x14ac:dyDescent="0.2">
      <c r="A23" s="140" t="str">
        <f>'Wikia | Gehege'!A23</f>
        <v>Breitmaulnashorn</v>
      </c>
      <c r="B23" s="35">
        <v>1800</v>
      </c>
      <c r="C23" s="36">
        <v>0</v>
      </c>
      <c r="D23" s="36">
        <v>0</v>
      </c>
      <c r="E23" s="37">
        <v>0</v>
      </c>
      <c r="F23" s="35">
        <f>IFERROR(B23-VLOOKUP($A23,'Wikia | Gehege'!$A:$AL,17,FALSE),0)</f>
        <v>525</v>
      </c>
      <c r="G23" s="36">
        <f>IFERROR(C23-VLOOKUP($A23,'Wikia | Gehege'!$A:$AL,18,FALSE),0)</f>
        <v>0</v>
      </c>
      <c r="H23" s="36">
        <f>IFERROR(D23-VLOOKUP($A23,'Wikia | Gehege'!$A:$AL,19,FALSE),0)</f>
        <v>0</v>
      </c>
      <c r="I23" s="37">
        <f>IFERROR(E23-VLOOKUP($A23,'Wikia | Gehege'!$A:$AL,20,FALSE),0)</f>
        <v>0</v>
      </c>
      <c r="J23" s="35">
        <f>IFERROR(IF(VLOOKUP($A23,'Wikia | Gehege'!$A:$AL,26,FALSE)=1,VLOOKUP($A23,'Wikia | Gehege'!$A:$AL,17,FALSE),VLOOKUP($A23,'Wikia | Gehege'!$A:$AL,17,FALSE)+VLOOKUP($A23,'Wikia | Gehege'!$A:$AL,26,FALSE)*($F23)-1*$F23),0)</f>
        <v>1275</v>
      </c>
      <c r="K23" s="36">
        <f>IFERROR(IF(VLOOKUP($A23,'Wikia | Gehege'!$A:$AL,26,FALSE)=1,VLOOKUP($A23,'Wikia | Gehege'!$A:$AL,18,FALSE),VLOOKUP($A23,'Wikia | Gehege'!$A:$AL,18,FALSE)+VLOOKUP($A23,'Wikia | Gehege'!$A:$AL,26,FALSE)*($G23)-1*$G23),0)</f>
        <v>0</v>
      </c>
      <c r="L23" s="36">
        <f>IFERROR(IF(VLOOKUP($A23,'Wikia | Gehege'!$A:$AL,26,FALSE)=1,VLOOKUP($A23,'Wikia | Gehege'!$A:$AL,19,FALSE),VLOOKUP($A23,'Wikia | Gehege'!$A:$AL,19,FALSE)+VLOOKUP($A23,'Wikia | Gehege'!$A:$AL,26,FALSE)*($H23)-1*$H23),0)</f>
        <v>0</v>
      </c>
      <c r="M23" s="37">
        <f>IFERROR(IF(VLOOKUP($A23,'Wikia | Gehege'!$A:$AL,26,FALSE)=1,VLOOKUP($A23,'Wikia | Gehege'!$A:$AL,20,FALSE),VLOOKUP($A23,'Wikia | Gehege'!$A:$AL,20,FALSE)+VLOOKUP($A23,'Wikia | Gehege'!$A:$AL,26,FALSE)*($I23)-1*$I23),0)</f>
        <v>0</v>
      </c>
      <c r="N23" s="35">
        <f>IFERROR(IF(VLOOKUP($A23,'Wikia | Gehege'!$A:$AL,27,FALSE)=1,VLOOKUP($A23,'Wikia | Gehege'!$A:$AL,17,FALSE),VLOOKUP($A23,'Wikia | Gehege'!$A:$AL,17,FALSE)+VLOOKUP($A23,'Wikia | Gehege'!$A:$AL,27,FALSE)*($F23)-1*$F23),0)</f>
        <v>3375</v>
      </c>
      <c r="O23" s="36">
        <f>IFERROR(IF(VLOOKUP($A23,'Wikia | Gehege'!$A:$AL,27,FALSE)=1,VLOOKUP($A23,'Wikia | Gehege'!$A:$AL,18,FALSE),VLOOKUP($A23,'Wikia | Gehege'!$A:$AL,18,FALSE)+VLOOKUP($A23,'Wikia | Gehege'!$A:$AL,27,FALSE)*($G23)-1*$G23),0)</f>
        <v>0</v>
      </c>
      <c r="P23" s="36">
        <f>IFERROR(IF(VLOOKUP($A23,'Wikia | Gehege'!$A:$AL,27,FALSE)=1,VLOOKUP($A23,'Wikia | Gehege'!$A:$AL,19,FALSE),VLOOKUP($A23,'Wikia | Gehege'!$A:$AL,19,FALSE)+VLOOKUP($A23,'Wikia | Gehege'!$A:$AL,27,FALSE)*($H23)-1*$H23),0)</f>
        <v>0</v>
      </c>
      <c r="Q23" s="37">
        <f>IFERROR(IF(VLOOKUP($A23,'Wikia | Gehege'!$A:$AL,27,FALSE)=1,VLOOKUP($A23,'Wikia | Gehege'!$A:$AL,20,FALSE),VLOOKUP($A23,'Wikia | Gehege'!$A:$AL,20,FALSE)+VLOOKUP($A23,'Wikia | Gehege'!$A:$AL,27,FALSE)*($I23)-1*$I23),0)</f>
        <v>0</v>
      </c>
      <c r="R23" s="87"/>
      <c r="S23" s="94"/>
      <c r="T23" s="38">
        <f>IFERROR(VLOOKUP($A23,'Wikia | Gehege'!$A:$AL,17,FALSE)+(($S23-1)*$F23),0)</f>
        <v>750</v>
      </c>
      <c r="U23" s="38">
        <f>IFERROR(VLOOKUP($A23,'Wikia | Gehege'!$A:$AL,18,FALSE)+(($S23-1)*$G23),0)</f>
        <v>0</v>
      </c>
      <c r="V23" s="38">
        <f>IFERROR(VLOOKUP($A23,'Wikia | Gehege'!$A:$AL,19,FALSE)+(($S23-1)*$H23),0)</f>
        <v>0</v>
      </c>
      <c r="W23" s="85">
        <f>IFERROR(VLOOKUP($A23,'Wikia | Gehege'!$A:$AL,20,FALSE)+(($S23-1)*$I23),0)</f>
        <v>0</v>
      </c>
      <c r="X23" s="87"/>
    </row>
    <row r="24" spans="1:24" ht="35.1" customHeight="1" x14ac:dyDescent="0.2">
      <c r="A24" s="140" t="str">
        <f>'Wikia | Gehege'!A24</f>
        <v>Brillenbär</v>
      </c>
      <c r="B24" s="35">
        <v>930</v>
      </c>
      <c r="C24" s="36">
        <v>100</v>
      </c>
      <c r="D24" s="36">
        <v>0</v>
      </c>
      <c r="E24" s="37">
        <v>0</v>
      </c>
      <c r="F24" s="35">
        <f>IFERROR(B24-VLOOKUP($A24,'Wikia | Gehege'!$A:$AL,17,FALSE),0)</f>
        <v>80</v>
      </c>
      <c r="G24" s="36">
        <f>IFERROR(C24-VLOOKUP($A24,'Wikia | Gehege'!$A:$AL,18,FALSE),0)</f>
        <v>36</v>
      </c>
      <c r="H24" s="36">
        <f>IFERROR(D24-VLOOKUP($A24,'Wikia | Gehege'!$A:$AL,19,FALSE),0)</f>
        <v>0</v>
      </c>
      <c r="I24" s="37">
        <f>IFERROR(E24-VLOOKUP($A24,'Wikia | Gehege'!$A:$AL,20,FALSE),0)</f>
        <v>0</v>
      </c>
      <c r="J24" s="35">
        <f>IFERROR(IF(VLOOKUP($A24,'Wikia | Gehege'!$A:$AL,26,FALSE)=1,VLOOKUP($A24,'Wikia | Gehege'!$A:$AL,17,FALSE),VLOOKUP($A24,'Wikia | Gehege'!$A:$AL,17,FALSE)+VLOOKUP($A24,'Wikia | Gehege'!$A:$AL,26,FALSE)*($F24)-1*$F24),0)</f>
        <v>850</v>
      </c>
      <c r="K24" s="36">
        <f>IFERROR(IF(VLOOKUP($A24,'Wikia | Gehege'!$A:$AL,26,FALSE)=1,VLOOKUP($A24,'Wikia | Gehege'!$A:$AL,18,FALSE),VLOOKUP($A24,'Wikia | Gehege'!$A:$AL,18,FALSE)+VLOOKUP($A24,'Wikia | Gehege'!$A:$AL,26,FALSE)*($G24)-1*$G24),0)</f>
        <v>64</v>
      </c>
      <c r="L24" s="36">
        <f>IFERROR(IF(VLOOKUP($A24,'Wikia | Gehege'!$A:$AL,26,FALSE)=1,VLOOKUP($A24,'Wikia | Gehege'!$A:$AL,19,FALSE),VLOOKUP($A24,'Wikia | Gehege'!$A:$AL,19,FALSE)+VLOOKUP($A24,'Wikia | Gehege'!$A:$AL,26,FALSE)*($H24)-1*$H24),0)</f>
        <v>0</v>
      </c>
      <c r="M24" s="37">
        <f>IFERROR(IF(VLOOKUP($A24,'Wikia | Gehege'!$A:$AL,26,FALSE)=1,VLOOKUP($A24,'Wikia | Gehege'!$A:$AL,20,FALSE),VLOOKUP($A24,'Wikia | Gehege'!$A:$AL,20,FALSE)+VLOOKUP($A24,'Wikia | Gehege'!$A:$AL,26,FALSE)*($I24)-1*$I24),0)</f>
        <v>0</v>
      </c>
      <c r="N24" s="35">
        <f>IFERROR(IF(VLOOKUP($A24,'Wikia | Gehege'!$A:$AL,27,FALSE)=1,VLOOKUP($A24,'Wikia | Gehege'!$A:$AL,17,FALSE),VLOOKUP($A24,'Wikia | Gehege'!$A:$AL,17,FALSE)+VLOOKUP($A24,'Wikia | Gehege'!$A:$AL,27,FALSE)*($F24)-1*$F24),0)</f>
        <v>930</v>
      </c>
      <c r="O24" s="36">
        <f>IFERROR(IF(VLOOKUP($A24,'Wikia | Gehege'!$A:$AL,27,FALSE)=1,VLOOKUP($A24,'Wikia | Gehege'!$A:$AL,18,FALSE),VLOOKUP($A24,'Wikia | Gehege'!$A:$AL,18,FALSE)+VLOOKUP($A24,'Wikia | Gehege'!$A:$AL,27,FALSE)*($G24)-1*$G24),0)</f>
        <v>100</v>
      </c>
      <c r="P24" s="36">
        <f>IFERROR(IF(VLOOKUP($A24,'Wikia | Gehege'!$A:$AL,27,FALSE)=1,VLOOKUP($A24,'Wikia | Gehege'!$A:$AL,19,FALSE),VLOOKUP($A24,'Wikia | Gehege'!$A:$AL,19,FALSE)+VLOOKUP($A24,'Wikia | Gehege'!$A:$AL,27,FALSE)*($H24)-1*$H24),0)</f>
        <v>0</v>
      </c>
      <c r="Q24" s="37">
        <f>IFERROR(IF(VLOOKUP($A24,'Wikia | Gehege'!$A:$AL,27,FALSE)=1,VLOOKUP($A24,'Wikia | Gehege'!$A:$AL,20,FALSE),VLOOKUP($A24,'Wikia | Gehege'!$A:$AL,20,FALSE)+VLOOKUP($A24,'Wikia | Gehege'!$A:$AL,27,FALSE)*($I24)-1*$I24),0)</f>
        <v>0</v>
      </c>
      <c r="R24" s="87"/>
      <c r="S24" s="94"/>
      <c r="T24" s="38">
        <f>IFERROR(VLOOKUP($A24,'Wikia | Gehege'!$A:$AL,17,FALSE)+(($S24-1)*$F24),0)</f>
        <v>770</v>
      </c>
      <c r="U24" s="38">
        <f>IFERROR(VLOOKUP($A24,'Wikia | Gehege'!$A:$AL,18,FALSE)+(($S24-1)*$G24),0)</f>
        <v>28</v>
      </c>
      <c r="V24" s="38">
        <f>IFERROR(VLOOKUP($A24,'Wikia | Gehege'!$A:$AL,19,FALSE)+(($S24-1)*$H24),0)</f>
        <v>0</v>
      </c>
      <c r="W24" s="85">
        <f>IFERROR(VLOOKUP($A24,'Wikia | Gehege'!$A:$AL,20,FALSE)+(($S24-1)*$I24),0)</f>
        <v>0</v>
      </c>
      <c r="X24" s="87"/>
    </row>
    <row r="25" spans="1:24" ht="35.1" customHeight="1" x14ac:dyDescent="0.2">
      <c r="A25" s="140" t="str">
        <f>'Wikia | Gehege'!A25</f>
        <v>Brillenpinguin</v>
      </c>
      <c r="B25" s="35">
        <v>183</v>
      </c>
      <c r="C25" s="36">
        <v>0</v>
      </c>
      <c r="D25" s="36">
        <v>137</v>
      </c>
      <c r="E25" s="37">
        <v>69</v>
      </c>
      <c r="F25" s="35">
        <f>IFERROR(B25-VLOOKUP($A25,'Wikia | Gehege'!$A:$AL,17,FALSE),0)</f>
        <v>3</v>
      </c>
      <c r="G25" s="36">
        <f>IFERROR(C25-VLOOKUP($A25,'Wikia | Gehege'!$A:$AL,18,FALSE),0)</f>
        <v>0</v>
      </c>
      <c r="H25" s="36">
        <f>IFERROR(D25-VLOOKUP($A25,'Wikia | Gehege'!$A:$AL,19,FALSE),0)</f>
        <v>2</v>
      </c>
      <c r="I25" s="37">
        <f>IFERROR(E25-VLOOKUP($A25,'Wikia | Gehege'!$A:$AL,20,FALSE),0)</f>
        <v>2</v>
      </c>
      <c r="J25" s="35">
        <f>IFERROR(IF(VLOOKUP($A25,'Wikia | Gehege'!$A:$AL,26,FALSE)=1,VLOOKUP($A25,'Wikia | Gehege'!$A:$AL,17,FALSE),VLOOKUP($A25,'Wikia | Gehege'!$A:$AL,17,FALSE)+VLOOKUP($A25,'Wikia | Gehege'!$A:$AL,26,FALSE)*($F25)-1*$F25),0)</f>
        <v>195</v>
      </c>
      <c r="K25" s="36">
        <f>IFERROR(IF(VLOOKUP($A25,'Wikia | Gehege'!$A:$AL,26,FALSE)=1,VLOOKUP($A25,'Wikia | Gehege'!$A:$AL,18,FALSE),VLOOKUP($A25,'Wikia | Gehege'!$A:$AL,18,FALSE)+VLOOKUP($A25,'Wikia | Gehege'!$A:$AL,26,FALSE)*($G25)-1*$G25),0)</f>
        <v>0</v>
      </c>
      <c r="L25" s="36">
        <f>IFERROR(IF(VLOOKUP($A25,'Wikia | Gehege'!$A:$AL,26,FALSE)=1,VLOOKUP($A25,'Wikia | Gehege'!$A:$AL,19,FALSE),VLOOKUP($A25,'Wikia | Gehege'!$A:$AL,19,FALSE)+VLOOKUP($A25,'Wikia | Gehege'!$A:$AL,26,FALSE)*($H25)-1*$H25),0)</f>
        <v>145</v>
      </c>
      <c r="M25" s="37">
        <f>IFERROR(IF(VLOOKUP($A25,'Wikia | Gehege'!$A:$AL,26,FALSE)=1,VLOOKUP($A25,'Wikia | Gehege'!$A:$AL,20,FALSE),VLOOKUP($A25,'Wikia | Gehege'!$A:$AL,20,FALSE)+VLOOKUP($A25,'Wikia | Gehege'!$A:$AL,26,FALSE)*($I25)-1*$I25),0)</f>
        <v>77</v>
      </c>
      <c r="N25" s="35">
        <f>IFERROR(IF(VLOOKUP($A25,'Wikia | Gehege'!$A:$AL,27,FALSE)=1,VLOOKUP($A25,'Wikia | Gehege'!$A:$AL,17,FALSE),VLOOKUP($A25,'Wikia | Gehege'!$A:$AL,17,FALSE)+VLOOKUP($A25,'Wikia | Gehege'!$A:$AL,27,FALSE)*($F25)-1*$F25),0)</f>
        <v>1677</v>
      </c>
      <c r="O25" s="36">
        <f>IFERROR(IF(VLOOKUP($A25,'Wikia | Gehege'!$A:$AL,27,FALSE)=1,VLOOKUP($A25,'Wikia | Gehege'!$A:$AL,18,FALSE),VLOOKUP($A25,'Wikia | Gehege'!$A:$AL,18,FALSE)+VLOOKUP($A25,'Wikia | Gehege'!$A:$AL,27,FALSE)*($G25)-1*$G25),0)</f>
        <v>0</v>
      </c>
      <c r="P25" s="36">
        <f>IFERROR(IF(VLOOKUP($A25,'Wikia | Gehege'!$A:$AL,27,FALSE)=1,VLOOKUP($A25,'Wikia | Gehege'!$A:$AL,19,FALSE),VLOOKUP($A25,'Wikia | Gehege'!$A:$AL,19,FALSE)+VLOOKUP($A25,'Wikia | Gehege'!$A:$AL,27,FALSE)*($H25)-1*$H25),0)</f>
        <v>1133</v>
      </c>
      <c r="Q25" s="37">
        <f>IFERROR(IF(VLOOKUP($A25,'Wikia | Gehege'!$A:$AL,27,FALSE)=1,VLOOKUP($A25,'Wikia | Gehege'!$A:$AL,20,FALSE),VLOOKUP($A25,'Wikia | Gehege'!$A:$AL,20,FALSE)+VLOOKUP($A25,'Wikia | Gehege'!$A:$AL,27,FALSE)*($I25)-1*$I25),0)</f>
        <v>1065</v>
      </c>
      <c r="R25" s="87"/>
      <c r="S25" s="94"/>
      <c r="T25" s="38">
        <f>IFERROR(VLOOKUP($A25,'Wikia | Gehege'!$A:$AL,17,FALSE)+(($S25-1)*$F25),0)</f>
        <v>177</v>
      </c>
      <c r="U25" s="38">
        <f>IFERROR(VLOOKUP($A25,'Wikia | Gehege'!$A:$AL,18,FALSE)+(($S25-1)*$G25),0)</f>
        <v>0</v>
      </c>
      <c r="V25" s="38">
        <f>IFERROR(VLOOKUP($A25,'Wikia | Gehege'!$A:$AL,19,FALSE)+(($S25-1)*$H25),0)</f>
        <v>133</v>
      </c>
      <c r="W25" s="85">
        <f>IFERROR(VLOOKUP($A25,'Wikia | Gehege'!$A:$AL,20,FALSE)+(($S25-1)*$I25),0)</f>
        <v>65</v>
      </c>
      <c r="X25" s="87"/>
    </row>
    <row r="26" spans="1:24" ht="35.1" customHeight="1" x14ac:dyDescent="0.2">
      <c r="A26" s="140" t="str">
        <f>'Wikia | Gehege'!A26</f>
        <v>Capybara</v>
      </c>
      <c r="B26" s="35">
        <v>333</v>
      </c>
      <c r="C26" s="36">
        <v>0</v>
      </c>
      <c r="D26" s="36">
        <v>82</v>
      </c>
      <c r="E26" s="37">
        <v>0</v>
      </c>
      <c r="F26" s="35">
        <f>IFERROR(B26-VLOOKUP($A26,'Wikia | Gehege'!$A:$AL,17,FALSE),0)</f>
        <v>48</v>
      </c>
      <c r="G26" s="36">
        <f>IFERROR(C26-VLOOKUP($A26,'Wikia | Gehege'!$A:$AL,18,FALSE),0)</f>
        <v>0</v>
      </c>
      <c r="H26" s="36">
        <f>IFERROR(D26-VLOOKUP($A26,'Wikia | Gehege'!$A:$AL,19,FALSE),0)</f>
        <v>12</v>
      </c>
      <c r="I26" s="37">
        <f>IFERROR(E26-VLOOKUP($A26,'Wikia | Gehege'!$A:$AL,20,FALSE),0)</f>
        <v>0</v>
      </c>
      <c r="J26" s="35">
        <f>IFERROR(IF(VLOOKUP($A26,'Wikia | Gehege'!$A:$AL,26,FALSE)=1,VLOOKUP($A26,'Wikia | Gehege'!$A:$AL,17,FALSE),VLOOKUP($A26,'Wikia | Gehege'!$A:$AL,17,FALSE)+VLOOKUP($A26,'Wikia | Gehege'!$A:$AL,26,FALSE)*($F26)-1*$F26),0)</f>
        <v>429</v>
      </c>
      <c r="K26" s="36">
        <f>IFERROR(IF(VLOOKUP($A26,'Wikia | Gehege'!$A:$AL,26,FALSE)=1,VLOOKUP($A26,'Wikia | Gehege'!$A:$AL,18,FALSE),VLOOKUP($A26,'Wikia | Gehege'!$A:$AL,18,FALSE)+VLOOKUP($A26,'Wikia | Gehege'!$A:$AL,26,FALSE)*($G26)-1*$G26),0)</f>
        <v>0</v>
      </c>
      <c r="L26" s="36">
        <f>IFERROR(IF(VLOOKUP($A26,'Wikia | Gehege'!$A:$AL,26,FALSE)=1,VLOOKUP($A26,'Wikia | Gehege'!$A:$AL,19,FALSE),VLOOKUP($A26,'Wikia | Gehege'!$A:$AL,19,FALSE)+VLOOKUP($A26,'Wikia | Gehege'!$A:$AL,26,FALSE)*($H26)-1*$H26),0)</f>
        <v>106</v>
      </c>
      <c r="M26" s="37">
        <f>IFERROR(IF(VLOOKUP($A26,'Wikia | Gehege'!$A:$AL,26,FALSE)=1,VLOOKUP($A26,'Wikia | Gehege'!$A:$AL,20,FALSE),VLOOKUP($A26,'Wikia | Gehege'!$A:$AL,20,FALSE)+VLOOKUP($A26,'Wikia | Gehege'!$A:$AL,26,FALSE)*($I26)-1*$I26),0)</f>
        <v>0</v>
      </c>
      <c r="N26" s="35">
        <f>IFERROR(IF(VLOOKUP($A26,'Wikia | Gehege'!$A:$AL,27,FALSE)=1,VLOOKUP($A26,'Wikia | Gehege'!$A:$AL,17,FALSE),VLOOKUP($A26,'Wikia | Gehege'!$A:$AL,17,FALSE)+VLOOKUP($A26,'Wikia | Gehege'!$A:$AL,27,FALSE)*($F26)-1*$F26),0)</f>
        <v>1197</v>
      </c>
      <c r="O26" s="36">
        <f>IFERROR(IF(VLOOKUP($A26,'Wikia | Gehege'!$A:$AL,27,FALSE)=1,VLOOKUP($A26,'Wikia | Gehege'!$A:$AL,18,FALSE),VLOOKUP($A26,'Wikia | Gehege'!$A:$AL,18,FALSE)+VLOOKUP($A26,'Wikia | Gehege'!$A:$AL,27,FALSE)*($G26)-1*$G26),0)</f>
        <v>0</v>
      </c>
      <c r="P26" s="36">
        <f>IFERROR(IF(VLOOKUP($A26,'Wikia | Gehege'!$A:$AL,27,FALSE)=1,VLOOKUP($A26,'Wikia | Gehege'!$A:$AL,19,FALSE),VLOOKUP($A26,'Wikia | Gehege'!$A:$AL,19,FALSE)+VLOOKUP($A26,'Wikia | Gehege'!$A:$AL,27,FALSE)*($H26)-1*$H26),0)</f>
        <v>298</v>
      </c>
      <c r="Q26" s="37">
        <f>IFERROR(IF(VLOOKUP($A26,'Wikia | Gehege'!$A:$AL,27,FALSE)=1,VLOOKUP($A26,'Wikia | Gehege'!$A:$AL,20,FALSE),VLOOKUP($A26,'Wikia | Gehege'!$A:$AL,20,FALSE)+VLOOKUP($A26,'Wikia | Gehege'!$A:$AL,27,FALSE)*($I26)-1*$I26),0)</f>
        <v>0</v>
      </c>
      <c r="R26" s="87"/>
      <c r="S26" s="94"/>
      <c r="T26" s="38">
        <f>IFERROR(VLOOKUP($A26,'Wikia | Gehege'!$A:$AL,17,FALSE)+(($S26-1)*$F26),0)</f>
        <v>237</v>
      </c>
      <c r="U26" s="38">
        <f>IFERROR(VLOOKUP($A26,'Wikia | Gehege'!$A:$AL,18,FALSE)+(($S26-1)*$G26),0)</f>
        <v>0</v>
      </c>
      <c r="V26" s="38">
        <f>IFERROR(VLOOKUP($A26,'Wikia | Gehege'!$A:$AL,19,FALSE)+(($S26-1)*$H26),0)</f>
        <v>58</v>
      </c>
      <c r="W26" s="85">
        <f>IFERROR(VLOOKUP($A26,'Wikia | Gehege'!$A:$AL,20,FALSE)+(($S26-1)*$I26),0)</f>
        <v>0</v>
      </c>
      <c r="X26" s="87"/>
    </row>
    <row r="27" spans="1:24" ht="35.1" customHeight="1" x14ac:dyDescent="0.2">
      <c r="A27" s="140" t="str">
        <f>'Wikia | Gehege'!A27</f>
        <v xml:space="preserve">Chinesisches Schuppentier </v>
      </c>
      <c r="B27" s="35">
        <v>198</v>
      </c>
      <c r="C27" s="36">
        <v>0</v>
      </c>
      <c r="D27" s="36">
        <v>0</v>
      </c>
      <c r="E27" s="37">
        <v>0</v>
      </c>
      <c r="F27" s="35">
        <f>IFERROR(B27-VLOOKUP($A27,'Wikia | Gehege'!$A:$AL,17,FALSE),0)</f>
        <v>16</v>
      </c>
      <c r="G27" s="36">
        <f>IFERROR(C27-VLOOKUP($A27,'Wikia | Gehege'!$A:$AL,18,FALSE),0)</f>
        <v>0</v>
      </c>
      <c r="H27" s="36">
        <f>IFERROR(D27-VLOOKUP($A27,'Wikia | Gehege'!$A:$AL,19,FALSE),0)</f>
        <v>0</v>
      </c>
      <c r="I27" s="37">
        <f>IFERROR(E27-VLOOKUP($A27,'Wikia | Gehege'!$A:$AL,20,FALSE),0)</f>
        <v>0</v>
      </c>
      <c r="J27" s="35">
        <f>IFERROR(IF(VLOOKUP($A27,'Wikia | Gehege'!$A:$AL,26,FALSE)=1,VLOOKUP($A27,'Wikia | Gehege'!$A:$AL,17,FALSE),VLOOKUP($A27,'Wikia | Gehege'!$A:$AL,17,FALSE)+VLOOKUP($A27,'Wikia | Gehege'!$A:$AL,26,FALSE)*($F27)-1*$F27),0)</f>
        <v>182</v>
      </c>
      <c r="K27" s="36">
        <f>IFERROR(IF(VLOOKUP($A27,'Wikia | Gehege'!$A:$AL,26,FALSE)=1,VLOOKUP($A27,'Wikia | Gehege'!$A:$AL,18,FALSE),VLOOKUP($A27,'Wikia | Gehege'!$A:$AL,18,FALSE)+VLOOKUP($A27,'Wikia | Gehege'!$A:$AL,26,FALSE)*($G27)-1*$G27),0)</f>
        <v>0</v>
      </c>
      <c r="L27" s="36">
        <f>IFERROR(IF(VLOOKUP($A27,'Wikia | Gehege'!$A:$AL,26,FALSE)=1,VLOOKUP($A27,'Wikia | Gehege'!$A:$AL,19,FALSE),VLOOKUP($A27,'Wikia | Gehege'!$A:$AL,19,FALSE)+VLOOKUP($A27,'Wikia | Gehege'!$A:$AL,26,FALSE)*($H27)-1*$H27),0)</f>
        <v>0</v>
      </c>
      <c r="M27" s="37">
        <f>IFERROR(IF(VLOOKUP($A27,'Wikia | Gehege'!$A:$AL,26,FALSE)=1,VLOOKUP($A27,'Wikia | Gehege'!$A:$AL,20,FALSE),VLOOKUP($A27,'Wikia | Gehege'!$A:$AL,20,FALSE)+VLOOKUP($A27,'Wikia | Gehege'!$A:$AL,26,FALSE)*($I27)-1*$I27),0)</f>
        <v>0</v>
      </c>
      <c r="N27" s="35">
        <f>IFERROR(IF(VLOOKUP($A27,'Wikia | Gehege'!$A:$AL,27,FALSE)=1,VLOOKUP($A27,'Wikia | Gehege'!$A:$AL,17,FALSE),VLOOKUP($A27,'Wikia | Gehege'!$A:$AL,17,FALSE)+VLOOKUP($A27,'Wikia | Gehege'!$A:$AL,27,FALSE)*($F27)-1*$F27),0)</f>
        <v>214</v>
      </c>
      <c r="O27" s="36">
        <f>IFERROR(IF(VLOOKUP($A27,'Wikia | Gehege'!$A:$AL,27,FALSE)=1,VLOOKUP($A27,'Wikia | Gehege'!$A:$AL,18,FALSE),VLOOKUP($A27,'Wikia | Gehege'!$A:$AL,18,FALSE)+VLOOKUP($A27,'Wikia | Gehege'!$A:$AL,27,FALSE)*($G27)-1*$G27),0)</f>
        <v>0</v>
      </c>
      <c r="P27" s="36">
        <f>IFERROR(IF(VLOOKUP($A27,'Wikia | Gehege'!$A:$AL,27,FALSE)=1,VLOOKUP($A27,'Wikia | Gehege'!$A:$AL,19,FALSE),VLOOKUP($A27,'Wikia | Gehege'!$A:$AL,19,FALSE)+VLOOKUP($A27,'Wikia | Gehege'!$A:$AL,27,FALSE)*($H27)-1*$H27),0)</f>
        <v>0</v>
      </c>
      <c r="Q27" s="37">
        <f>IFERROR(IF(VLOOKUP($A27,'Wikia | Gehege'!$A:$AL,27,FALSE)=1,VLOOKUP($A27,'Wikia | Gehege'!$A:$AL,20,FALSE),VLOOKUP($A27,'Wikia | Gehege'!$A:$AL,20,FALSE)+VLOOKUP($A27,'Wikia | Gehege'!$A:$AL,27,FALSE)*($I27)-1*$I27),0)</f>
        <v>0</v>
      </c>
      <c r="R27" s="87"/>
      <c r="S27" s="94"/>
      <c r="T27" s="38">
        <f>IFERROR(VLOOKUP($A27,'Wikia | Gehege'!$A:$AL,17,FALSE)+(($S27-1)*$F27),0)</f>
        <v>166</v>
      </c>
      <c r="U27" s="38">
        <f>IFERROR(VLOOKUP($A27,'Wikia | Gehege'!$A:$AL,18,FALSE)+(($S27-1)*$G27),0)</f>
        <v>0</v>
      </c>
      <c r="V27" s="38">
        <f>IFERROR(VLOOKUP($A27,'Wikia | Gehege'!$A:$AL,19,FALSE)+(($S27-1)*$H27),0)</f>
        <v>0</v>
      </c>
      <c r="W27" s="85">
        <f>IFERROR(VLOOKUP($A27,'Wikia | Gehege'!$A:$AL,20,FALSE)+(($S27-1)*$I27),0)</f>
        <v>0</v>
      </c>
      <c r="X27" s="87"/>
    </row>
    <row r="28" spans="1:24" ht="35.1" customHeight="1" x14ac:dyDescent="0.2">
      <c r="A28" s="140" t="str">
        <f>'Wikia | Gehege'!A28</f>
        <v>Coquerel-Sifaka</v>
      </c>
      <c r="B28" s="35">
        <v>235</v>
      </c>
      <c r="C28" s="36">
        <v>35</v>
      </c>
      <c r="D28" s="36">
        <v>0</v>
      </c>
      <c r="E28" s="37">
        <v>0</v>
      </c>
      <c r="F28" s="35">
        <f>IFERROR(B28-VLOOKUP($A28,'Wikia | Gehege'!$A:$AL,17,FALSE),0)</f>
        <v>20</v>
      </c>
      <c r="G28" s="36">
        <f>IFERROR(C28-VLOOKUP($A28,'Wikia | Gehege'!$A:$AL,18,FALSE),0)</f>
        <v>10</v>
      </c>
      <c r="H28" s="36">
        <f>IFERROR(D28-VLOOKUP($A28,'Wikia | Gehege'!$A:$AL,19,FALSE),0)</f>
        <v>0</v>
      </c>
      <c r="I28" s="37">
        <f>IFERROR(E28-VLOOKUP($A28,'Wikia | Gehege'!$A:$AL,20,FALSE),0)</f>
        <v>0</v>
      </c>
      <c r="J28" s="35">
        <f>IFERROR(IF(VLOOKUP($A28,'Wikia | Gehege'!$A:$AL,26,FALSE)=1,VLOOKUP($A28,'Wikia | Gehege'!$A:$AL,17,FALSE),VLOOKUP($A28,'Wikia | Gehege'!$A:$AL,17,FALSE)+VLOOKUP($A28,'Wikia | Gehege'!$A:$AL,26,FALSE)*($F28)-1*$F28),0)</f>
        <v>235</v>
      </c>
      <c r="K28" s="36">
        <f>IFERROR(IF(VLOOKUP($A28,'Wikia | Gehege'!$A:$AL,26,FALSE)=1,VLOOKUP($A28,'Wikia | Gehege'!$A:$AL,18,FALSE),VLOOKUP($A28,'Wikia | Gehege'!$A:$AL,18,FALSE)+VLOOKUP($A28,'Wikia | Gehege'!$A:$AL,26,FALSE)*($G28)-1*$G28),0)</f>
        <v>35</v>
      </c>
      <c r="L28" s="36">
        <f>IFERROR(IF(VLOOKUP($A28,'Wikia | Gehege'!$A:$AL,26,FALSE)=1,VLOOKUP($A28,'Wikia | Gehege'!$A:$AL,19,FALSE),VLOOKUP($A28,'Wikia | Gehege'!$A:$AL,19,FALSE)+VLOOKUP($A28,'Wikia | Gehege'!$A:$AL,26,FALSE)*($H28)-1*$H28),0)</f>
        <v>0</v>
      </c>
      <c r="M28" s="37">
        <f>IFERROR(IF(VLOOKUP($A28,'Wikia | Gehege'!$A:$AL,26,FALSE)=1,VLOOKUP($A28,'Wikia | Gehege'!$A:$AL,20,FALSE),VLOOKUP($A28,'Wikia | Gehege'!$A:$AL,20,FALSE)+VLOOKUP($A28,'Wikia | Gehege'!$A:$AL,26,FALSE)*($I28)-1*$I28),0)</f>
        <v>0</v>
      </c>
      <c r="N28" s="35">
        <f>IFERROR(IF(VLOOKUP($A28,'Wikia | Gehege'!$A:$AL,27,FALSE)=1,VLOOKUP($A28,'Wikia | Gehege'!$A:$AL,17,FALSE),VLOOKUP($A28,'Wikia | Gehege'!$A:$AL,17,FALSE)+VLOOKUP($A28,'Wikia | Gehege'!$A:$AL,27,FALSE)*($F28)-1*$F28),0)</f>
        <v>315</v>
      </c>
      <c r="O28" s="36">
        <f>IFERROR(IF(VLOOKUP($A28,'Wikia | Gehege'!$A:$AL,27,FALSE)=1,VLOOKUP($A28,'Wikia | Gehege'!$A:$AL,18,FALSE),VLOOKUP($A28,'Wikia | Gehege'!$A:$AL,18,FALSE)+VLOOKUP($A28,'Wikia | Gehege'!$A:$AL,27,FALSE)*($G28)-1*$G28),0)</f>
        <v>75</v>
      </c>
      <c r="P28" s="36">
        <f>IFERROR(IF(VLOOKUP($A28,'Wikia | Gehege'!$A:$AL,27,FALSE)=1,VLOOKUP($A28,'Wikia | Gehege'!$A:$AL,19,FALSE),VLOOKUP($A28,'Wikia | Gehege'!$A:$AL,19,FALSE)+VLOOKUP($A28,'Wikia | Gehege'!$A:$AL,27,FALSE)*($H28)-1*$H28),0)</f>
        <v>0</v>
      </c>
      <c r="Q28" s="37">
        <f>IFERROR(IF(VLOOKUP($A28,'Wikia | Gehege'!$A:$AL,27,FALSE)=1,VLOOKUP($A28,'Wikia | Gehege'!$A:$AL,20,FALSE),VLOOKUP($A28,'Wikia | Gehege'!$A:$AL,20,FALSE)+VLOOKUP($A28,'Wikia | Gehege'!$A:$AL,27,FALSE)*($I28)-1*$I28),0)</f>
        <v>0</v>
      </c>
      <c r="R28" s="87"/>
      <c r="S28" s="94"/>
      <c r="T28" s="38">
        <f>IFERROR(VLOOKUP($A28,'Wikia | Gehege'!$A:$AL,17,FALSE)+(($S28-1)*$F28),0)</f>
        <v>195</v>
      </c>
      <c r="U28" s="38">
        <f>IFERROR(VLOOKUP($A28,'Wikia | Gehege'!$A:$AL,18,FALSE)+(($S28-1)*$G28),0)</f>
        <v>15</v>
      </c>
      <c r="V28" s="38">
        <f>IFERROR(VLOOKUP($A28,'Wikia | Gehege'!$A:$AL,19,FALSE)+(($S28-1)*$H28),0)</f>
        <v>0</v>
      </c>
      <c r="W28" s="85">
        <f>IFERROR(VLOOKUP($A28,'Wikia | Gehege'!$A:$AL,20,FALSE)+(($S28-1)*$I28),0)</f>
        <v>0</v>
      </c>
      <c r="X28" s="87"/>
    </row>
    <row r="29" spans="1:24" ht="35.1" customHeight="1" x14ac:dyDescent="0.2">
      <c r="A29" s="140" t="str">
        <f>'Wikia | Gehege'!A29</f>
        <v>Dall-Schaf</v>
      </c>
      <c r="B29" s="35">
        <v>480</v>
      </c>
      <c r="C29" s="36">
        <v>0</v>
      </c>
      <c r="D29" s="36">
        <v>0</v>
      </c>
      <c r="E29" s="37">
        <v>0</v>
      </c>
      <c r="F29" s="35">
        <f>IFERROR(B29-VLOOKUP($A29,'Wikia | Gehege'!$A:$AL,17,FALSE),0)</f>
        <v>55</v>
      </c>
      <c r="G29" s="36">
        <f>IFERROR(C29-VLOOKUP($A29,'Wikia | Gehege'!$A:$AL,18,FALSE),0)</f>
        <v>0</v>
      </c>
      <c r="H29" s="36">
        <f>IFERROR(D29-VLOOKUP($A29,'Wikia | Gehege'!$A:$AL,19,FALSE),0)</f>
        <v>0</v>
      </c>
      <c r="I29" s="37">
        <f>IFERROR(E29-VLOOKUP($A29,'Wikia | Gehege'!$A:$AL,20,FALSE),0)</f>
        <v>0</v>
      </c>
      <c r="J29" s="35">
        <f>IFERROR(IF(VLOOKUP($A29,'Wikia | Gehege'!$A:$AL,26,FALSE)=1,VLOOKUP($A29,'Wikia | Gehege'!$A:$AL,17,FALSE),VLOOKUP($A29,'Wikia | Gehege'!$A:$AL,17,FALSE)+VLOOKUP($A29,'Wikia | Gehege'!$A:$AL,26,FALSE)*($F29)-1*$F29),0)</f>
        <v>535</v>
      </c>
      <c r="K29" s="36">
        <f>IFERROR(IF(VLOOKUP($A29,'Wikia | Gehege'!$A:$AL,26,FALSE)=1,VLOOKUP($A29,'Wikia | Gehege'!$A:$AL,18,FALSE),VLOOKUP($A29,'Wikia | Gehege'!$A:$AL,18,FALSE)+VLOOKUP($A29,'Wikia | Gehege'!$A:$AL,26,FALSE)*($G29)-1*$G29),0)</f>
        <v>0</v>
      </c>
      <c r="L29" s="36">
        <f>IFERROR(IF(VLOOKUP($A29,'Wikia | Gehege'!$A:$AL,26,FALSE)=1,VLOOKUP($A29,'Wikia | Gehege'!$A:$AL,19,FALSE),VLOOKUP($A29,'Wikia | Gehege'!$A:$AL,19,FALSE)+VLOOKUP($A29,'Wikia | Gehege'!$A:$AL,26,FALSE)*($H29)-1*$H29),0)</f>
        <v>0</v>
      </c>
      <c r="M29" s="37">
        <f>IFERROR(IF(VLOOKUP($A29,'Wikia | Gehege'!$A:$AL,26,FALSE)=1,VLOOKUP($A29,'Wikia | Gehege'!$A:$AL,20,FALSE),VLOOKUP($A29,'Wikia | Gehege'!$A:$AL,20,FALSE)+VLOOKUP($A29,'Wikia | Gehege'!$A:$AL,26,FALSE)*($I29)-1*$I29),0)</f>
        <v>0</v>
      </c>
      <c r="N29" s="35">
        <f>IFERROR(IF(VLOOKUP($A29,'Wikia | Gehege'!$A:$AL,27,FALSE)=1,VLOOKUP($A29,'Wikia | Gehege'!$A:$AL,17,FALSE),VLOOKUP($A29,'Wikia | Gehege'!$A:$AL,17,FALSE)+VLOOKUP($A29,'Wikia | Gehege'!$A:$AL,27,FALSE)*($F29)-1*$F29),0)</f>
        <v>2570</v>
      </c>
      <c r="O29" s="36">
        <f>IFERROR(IF(VLOOKUP($A29,'Wikia | Gehege'!$A:$AL,27,FALSE)=1,VLOOKUP($A29,'Wikia | Gehege'!$A:$AL,18,FALSE),VLOOKUP($A29,'Wikia | Gehege'!$A:$AL,18,FALSE)+VLOOKUP($A29,'Wikia | Gehege'!$A:$AL,27,FALSE)*($G29)-1*$G29),0)</f>
        <v>0</v>
      </c>
      <c r="P29" s="36">
        <f>IFERROR(IF(VLOOKUP($A29,'Wikia | Gehege'!$A:$AL,27,FALSE)=1,VLOOKUP($A29,'Wikia | Gehege'!$A:$AL,19,FALSE),VLOOKUP($A29,'Wikia | Gehege'!$A:$AL,19,FALSE)+VLOOKUP($A29,'Wikia | Gehege'!$A:$AL,27,FALSE)*($H29)-1*$H29),0)</f>
        <v>0</v>
      </c>
      <c r="Q29" s="37">
        <f>IFERROR(IF(VLOOKUP($A29,'Wikia | Gehege'!$A:$AL,27,FALSE)=1,VLOOKUP($A29,'Wikia | Gehege'!$A:$AL,20,FALSE),VLOOKUP($A29,'Wikia | Gehege'!$A:$AL,20,FALSE)+VLOOKUP($A29,'Wikia | Gehege'!$A:$AL,27,FALSE)*($I29)-1*$I29),0)</f>
        <v>0</v>
      </c>
      <c r="R29" s="87"/>
      <c r="S29" s="94"/>
      <c r="T29" s="38">
        <f>IFERROR(VLOOKUP($A29,'Wikia | Gehege'!$A:$AL,17,FALSE)+(($S29-1)*$F29),0)</f>
        <v>370</v>
      </c>
      <c r="U29" s="38">
        <f>IFERROR(VLOOKUP($A29,'Wikia | Gehege'!$A:$AL,18,FALSE)+(($S29-1)*$G29),0)</f>
        <v>0</v>
      </c>
      <c r="V29" s="38">
        <f>IFERROR(VLOOKUP($A29,'Wikia | Gehege'!$A:$AL,19,FALSE)+(($S29-1)*$H29),0)</f>
        <v>0</v>
      </c>
      <c r="W29" s="85">
        <f>IFERROR(VLOOKUP($A29,'Wikia | Gehege'!$A:$AL,20,FALSE)+(($S29-1)*$I29),0)</f>
        <v>0</v>
      </c>
      <c r="X29" s="87"/>
    </row>
    <row r="30" spans="1:24" ht="35.1" customHeight="1" x14ac:dyDescent="0.2">
      <c r="A30" s="140" t="str">
        <f>'Wikia | Gehege'!A30</f>
        <v>Damagazelle</v>
      </c>
      <c r="B30" s="35">
        <v>485</v>
      </c>
      <c r="C30" s="36">
        <v>0</v>
      </c>
      <c r="D30" s="36">
        <v>0</v>
      </c>
      <c r="E30" s="37">
        <v>0</v>
      </c>
      <c r="F30" s="35">
        <f>IFERROR(B30-VLOOKUP($A30,'Wikia | Gehege'!$A:$AL,17,FALSE),0)</f>
        <v>60</v>
      </c>
      <c r="G30" s="36">
        <f>IFERROR(C30-VLOOKUP($A30,'Wikia | Gehege'!$A:$AL,18,FALSE),0)</f>
        <v>0</v>
      </c>
      <c r="H30" s="36">
        <f>IFERROR(D30-VLOOKUP($A30,'Wikia | Gehege'!$A:$AL,19,FALSE),0)</f>
        <v>0</v>
      </c>
      <c r="I30" s="37">
        <f>IFERROR(E30-VLOOKUP($A30,'Wikia | Gehege'!$A:$AL,20,FALSE),0)</f>
        <v>0</v>
      </c>
      <c r="J30" s="35">
        <f>IFERROR(IF(VLOOKUP($A30,'Wikia | Gehege'!$A:$AL,26,FALSE)=1,VLOOKUP($A30,'Wikia | Gehege'!$A:$AL,17,FALSE),VLOOKUP($A30,'Wikia | Gehege'!$A:$AL,17,FALSE)+VLOOKUP($A30,'Wikia | Gehege'!$A:$AL,26,FALSE)*($F30)-1*$F30),0)</f>
        <v>545</v>
      </c>
      <c r="K30" s="36">
        <f>IFERROR(IF(VLOOKUP($A30,'Wikia | Gehege'!$A:$AL,26,FALSE)=1,VLOOKUP($A30,'Wikia | Gehege'!$A:$AL,18,FALSE),VLOOKUP($A30,'Wikia | Gehege'!$A:$AL,18,FALSE)+VLOOKUP($A30,'Wikia | Gehege'!$A:$AL,26,FALSE)*($G30)-1*$G30),0)</f>
        <v>0</v>
      </c>
      <c r="L30" s="36">
        <f>IFERROR(IF(VLOOKUP($A30,'Wikia | Gehege'!$A:$AL,26,FALSE)=1,VLOOKUP($A30,'Wikia | Gehege'!$A:$AL,19,FALSE),VLOOKUP($A30,'Wikia | Gehege'!$A:$AL,19,FALSE)+VLOOKUP($A30,'Wikia | Gehege'!$A:$AL,26,FALSE)*($H30)-1*$H30),0)</f>
        <v>0</v>
      </c>
      <c r="M30" s="37">
        <f>IFERROR(IF(VLOOKUP($A30,'Wikia | Gehege'!$A:$AL,26,FALSE)=1,VLOOKUP($A30,'Wikia | Gehege'!$A:$AL,20,FALSE),VLOOKUP($A30,'Wikia | Gehege'!$A:$AL,20,FALSE)+VLOOKUP($A30,'Wikia | Gehege'!$A:$AL,26,FALSE)*($I30)-1*$I30),0)</f>
        <v>0</v>
      </c>
      <c r="N30" s="35">
        <f>IFERROR(IF(VLOOKUP($A30,'Wikia | Gehege'!$A:$AL,27,FALSE)=1,VLOOKUP($A30,'Wikia | Gehege'!$A:$AL,17,FALSE),VLOOKUP($A30,'Wikia | Gehege'!$A:$AL,17,FALSE)+VLOOKUP($A30,'Wikia | Gehege'!$A:$AL,27,FALSE)*($F30)-1*$F30),0)</f>
        <v>1565</v>
      </c>
      <c r="O30" s="36">
        <f>IFERROR(IF(VLOOKUP($A30,'Wikia | Gehege'!$A:$AL,27,FALSE)=1,VLOOKUP($A30,'Wikia | Gehege'!$A:$AL,18,FALSE),VLOOKUP($A30,'Wikia | Gehege'!$A:$AL,18,FALSE)+VLOOKUP($A30,'Wikia | Gehege'!$A:$AL,27,FALSE)*($G30)-1*$G30),0)</f>
        <v>0</v>
      </c>
      <c r="P30" s="36">
        <f>IFERROR(IF(VLOOKUP($A30,'Wikia | Gehege'!$A:$AL,27,FALSE)=1,VLOOKUP($A30,'Wikia | Gehege'!$A:$AL,19,FALSE),VLOOKUP($A30,'Wikia | Gehege'!$A:$AL,19,FALSE)+VLOOKUP($A30,'Wikia | Gehege'!$A:$AL,27,FALSE)*($H30)-1*$H30),0)</f>
        <v>0</v>
      </c>
      <c r="Q30" s="37">
        <f>IFERROR(IF(VLOOKUP($A30,'Wikia | Gehege'!$A:$AL,27,FALSE)=1,VLOOKUP($A30,'Wikia | Gehege'!$A:$AL,20,FALSE),VLOOKUP($A30,'Wikia | Gehege'!$A:$AL,20,FALSE)+VLOOKUP($A30,'Wikia | Gehege'!$A:$AL,27,FALSE)*($I30)-1*$I30),0)</f>
        <v>0</v>
      </c>
      <c r="R30" s="87"/>
      <c r="S30" s="94"/>
      <c r="T30" s="38">
        <f>IFERROR(VLOOKUP($A30,'Wikia | Gehege'!$A:$AL,17,FALSE)+(($S30-1)*$F30),0)</f>
        <v>365</v>
      </c>
      <c r="U30" s="38">
        <f>IFERROR(VLOOKUP($A30,'Wikia | Gehege'!$A:$AL,18,FALSE)+(($S30-1)*$G30),0)</f>
        <v>0</v>
      </c>
      <c r="V30" s="38">
        <f>IFERROR(VLOOKUP($A30,'Wikia | Gehege'!$A:$AL,19,FALSE)+(($S30-1)*$H30),0)</f>
        <v>0</v>
      </c>
      <c r="W30" s="85">
        <f>IFERROR(VLOOKUP($A30,'Wikia | Gehege'!$A:$AL,20,FALSE)+(($S30-1)*$I30),0)</f>
        <v>0</v>
      </c>
      <c r="X30" s="87"/>
    </row>
    <row r="31" spans="1:24" ht="35.1" customHeight="1" x14ac:dyDescent="0.2">
      <c r="A31" s="140" t="str">
        <f>'Wikia | Gehege'!A31</f>
        <v>Damhirsch</v>
      </c>
      <c r="B31" s="35">
        <v>405</v>
      </c>
      <c r="C31" s="36">
        <v>0</v>
      </c>
      <c r="D31" s="36">
        <v>0</v>
      </c>
      <c r="E31" s="37">
        <v>0</v>
      </c>
      <c r="F31" s="35">
        <f>IFERROR(B31-VLOOKUP($A31,'Wikia | Gehege'!$A:$AL,17,FALSE),0)</f>
        <v>45</v>
      </c>
      <c r="G31" s="36">
        <f>IFERROR(C31-VLOOKUP($A31,'Wikia | Gehege'!$A:$AL,18,FALSE),0)</f>
        <v>0</v>
      </c>
      <c r="H31" s="36">
        <f>IFERROR(D31-VLOOKUP($A31,'Wikia | Gehege'!$A:$AL,19,FALSE),0)</f>
        <v>0</v>
      </c>
      <c r="I31" s="37">
        <f>IFERROR(E31-VLOOKUP($A31,'Wikia | Gehege'!$A:$AL,20,FALSE),0)</f>
        <v>0</v>
      </c>
      <c r="J31" s="35">
        <f>IFERROR(IF(VLOOKUP($A31,'Wikia | Gehege'!$A:$AL,26,FALSE)=1,VLOOKUP($A31,'Wikia | Gehege'!$A:$AL,17,FALSE),VLOOKUP($A31,'Wikia | Gehege'!$A:$AL,17,FALSE)+VLOOKUP($A31,'Wikia | Gehege'!$A:$AL,26,FALSE)*($F31)-1*$F31),0)</f>
        <v>450</v>
      </c>
      <c r="K31" s="36">
        <f>IFERROR(IF(VLOOKUP($A31,'Wikia | Gehege'!$A:$AL,26,FALSE)=1,VLOOKUP($A31,'Wikia | Gehege'!$A:$AL,18,FALSE),VLOOKUP($A31,'Wikia | Gehege'!$A:$AL,18,FALSE)+VLOOKUP($A31,'Wikia | Gehege'!$A:$AL,26,FALSE)*($G31)-1*$G31),0)</f>
        <v>0</v>
      </c>
      <c r="L31" s="36">
        <f>IFERROR(IF(VLOOKUP($A31,'Wikia | Gehege'!$A:$AL,26,FALSE)=1,VLOOKUP($A31,'Wikia | Gehege'!$A:$AL,19,FALSE),VLOOKUP($A31,'Wikia | Gehege'!$A:$AL,19,FALSE)+VLOOKUP($A31,'Wikia | Gehege'!$A:$AL,26,FALSE)*($H31)-1*$H31),0)</f>
        <v>0</v>
      </c>
      <c r="M31" s="37">
        <f>IFERROR(IF(VLOOKUP($A31,'Wikia | Gehege'!$A:$AL,26,FALSE)=1,VLOOKUP($A31,'Wikia | Gehege'!$A:$AL,20,FALSE),VLOOKUP($A31,'Wikia | Gehege'!$A:$AL,20,FALSE)+VLOOKUP($A31,'Wikia | Gehege'!$A:$AL,26,FALSE)*($I31)-1*$I31),0)</f>
        <v>0</v>
      </c>
      <c r="N31" s="35">
        <f>IFERROR(IF(VLOOKUP($A31,'Wikia | Gehege'!$A:$AL,27,FALSE)=1,VLOOKUP($A31,'Wikia | Gehege'!$A:$AL,17,FALSE),VLOOKUP($A31,'Wikia | Gehege'!$A:$AL,17,FALSE)+VLOOKUP($A31,'Wikia | Gehege'!$A:$AL,27,FALSE)*($F31)-1*$F31),0)</f>
        <v>1035</v>
      </c>
      <c r="O31" s="36">
        <f>IFERROR(IF(VLOOKUP($A31,'Wikia | Gehege'!$A:$AL,27,FALSE)=1,VLOOKUP($A31,'Wikia | Gehege'!$A:$AL,18,FALSE),VLOOKUP($A31,'Wikia | Gehege'!$A:$AL,18,FALSE)+VLOOKUP($A31,'Wikia | Gehege'!$A:$AL,27,FALSE)*($G31)-1*$G31),0)</f>
        <v>0</v>
      </c>
      <c r="P31" s="36">
        <f>IFERROR(IF(VLOOKUP($A31,'Wikia | Gehege'!$A:$AL,27,FALSE)=1,VLOOKUP($A31,'Wikia | Gehege'!$A:$AL,19,FALSE),VLOOKUP($A31,'Wikia | Gehege'!$A:$AL,19,FALSE)+VLOOKUP($A31,'Wikia | Gehege'!$A:$AL,27,FALSE)*($H31)-1*$H31),0)</f>
        <v>0</v>
      </c>
      <c r="Q31" s="37">
        <f>IFERROR(IF(VLOOKUP($A31,'Wikia | Gehege'!$A:$AL,27,FALSE)=1,VLOOKUP($A31,'Wikia | Gehege'!$A:$AL,20,FALSE),VLOOKUP($A31,'Wikia | Gehege'!$A:$AL,20,FALSE)+VLOOKUP($A31,'Wikia | Gehege'!$A:$AL,27,FALSE)*($I31)-1*$I31),0)</f>
        <v>0</v>
      </c>
      <c r="R31" s="87"/>
      <c r="S31" s="94"/>
      <c r="T31" s="38">
        <f>IFERROR(VLOOKUP($A31,'Wikia | Gehege'!$A:$AL,17,FALSE)+(($S31-1)*$F31),0)</f>
        <v>315</v>
      </c>
      <c r="U31" s="38">
        <f>IFERROR(VLOOKUP($A31,'Wikia | Gehege'!$A:$AL,18,FALSE)+(($S31-1)*$G31),0)</f>
        <v>0</v>
      </c>
      <c r="V31" s="38">
        <f>IFERROR(VLOOKUP($A31,'Wikia | Gehege'!$A:$AL,19,FALSE)+(($S31-1)*$H31),0)</f>
        <v>0</v>
      </c>
      <c r="W31" s="85">
        <f>IFERROR(VLOOKUP($A31,'Wikia | Gehege'!$A:$AL,20,FALSE)+(($S31-1)*$I31),0)</f>
        <v>0</v>
      </c>
      <c r="X31" s="87"/>
    </row>
    <row r="32" spans="1:24" ht="35.1" customHeight="1" x14ac:dyDescent="0.2">
      <c r="A32" s="140" t="str">
        <f>'Wikia | Gehege'!A32</f>
        <v>Dingo</v>
      </c>
      <c r="B32" s="35">
        <v>1254</v>
      </c>
      <c r="C32" s="36">
        <v>0</v>
      </c>
      <c r="D32" s="36">
        <v>0</v>
      </c>
      <c r="E32" s="37">
        <v>0</v>
      </c>
      <c r="F32" s="35">
        <f>IFERROR(B32-VLOOKUP($A32,'Wikia | Gehege'!$A:$AL,17,FALSE),0)</f>
        <v>92</v>
      </c>
      <c r="G32" s="36">
        <f>IFERROR(C32-VLOOKUP($A32,'Wikia | Gehege'!$A:$AL,18,FALSE),0)</f>
        <v>0</v>
      </c>
      <c r="H32" s="36">
        <f>IFERROR(D32-VLOOKUP($A32,'Wikia | Gehege'!$A:$AL,19,FALSE),0)</f>
        <v>0</v>
      </c>
      <c r="I32" s="37">
        <f>IFERROR(E32-VLOOKUP($A32,'Wikia | Gehege'!$A:$AL,20,FALSE),0)</f>
        <v>0</v>
      </c>
      <c r="J32" s="35">
        <f>IFERROR(IF(VLOOKUP($A32,'Wikia | Gehege'!$A:$AL,26,FALSE)=1,VLOOKUP($A32,'Wikia | Gehege'!$A:$AL,17,FALSE),VLOOKUP($A32,'Wikia | Gehege'!$A:$AL,17,FALSE)+VLOOKUP($A32,'Wikia | Gehege'!$A:$AL,26,FALSE)*($F32)-1*$F32),0)</f>
        <v>1254</v>
      </c>
      <c r="K32" s="36">
        <f>IFERROR(IF(VLOOKUP($A32,'Wikia | Gehege'!$A:$AL,26,FALSE)=1,VLOOKUP($A32,'Wikia | Gehege'!$A:$AL,18,FALSE),VLOOKUP($A32,'Wikia | Gehege'!$A:$AL,18,FALSE)+VLOOKUP($A32,'Wikia | Gehege'!$A:$AL,26,FALSE)*($G32)-1*$G32),0)</f>
        <v>0</v>
      </c>
      <c r="L32" s="36">
        <f>IFERROR(IF(VLOOKUP($A32,'Wikia | Gehege'!$A:$AL,26,FALSE)=1,VLOOKUP($A32,'Wikia | Gehege'!$A:$AL,19,FALSE),VLOOKUP($A32,'Wikia | Gehege'!$A:$AL,19,FALSE)+VLOOKUP($A32,'Wikia | Gehege'!$A:$AL,26,FALSE)*($H32)-1*$H32),0)</f>
        <v>0</v>
      </c>
      <c r="M32" s="37">
        <f>IFERROR(IF(VLOOKUP($A32,'Wikia | Gehege'!$A:$AL,26,FALSE)=1,VLOOKUP($A32,'Wikia | Gehege'!$A:$AL,20,FALSE),VLOOKUP($A32,'Wikia | Gehege'!$A:$AL,20,FALSE)+VLOOKUP($A32,'Wikia | Gehege'!$A:$AL,26,FALSE)*($I32)-1*$I32),0)</f>
        <v>0</v>
      </c>
      <c r="N32" s="35">
        <f>IFERROR(IF(VLOOKUP($A32,'Wikia | Gehege'!$A:$AL,27,FALSE)=1,VLOOKUP($A32,'Wikia | Gehege'!$A:$AL,17,FALSE),VLOOKUP($A32,'Wikia | Gehege'!$A:$AL,17,FALSE)+VLOOKUP($A32,'Wikia | Gehege'!$A:$AL,27,FALSE)*($F32)-1*$F32),0)</f>
        <v>2174</v>
      </c>
      <c r="O32" s="36">
        <f>IFERROR(IF(VLOOKUP($A32,'Wikia | Gehege'!$A:$AL,27,FALSE)=1,VLOOKUP($A32,'Wikia | Gehege'!$A:$AL,18,FALSE),VLOOKUP($A32,'Wikia | Gehege'!$A:$AL,18,FALSE)+VLOOKUP($A32,'Wikia | Gehege'!$A:$AL,27,FALSE)*($G32)-1*$G32),0)</f>
        <v>0</v>
      </c>
      <c r="P32" s="36">
        <f>IFERROR(IF(VLOOKUP($A32,'Wikia | Gehege'!$A:$AL,27,FALSE)=1,VLOOKUP($A32,'Wikia | Gehege'!$A:$AL,19,FALSE),VLOOKUP($A32,'Wikia | Gehege'!$A:$AL,19,FALSE)+VLOOKUP($A32,'Wikia | Gehege'!$A:$AL,27,FALSE)*($H32)-1*$H32),0)</f>
        <v>0</v>
      </c>
      <c r="Q32" s="37">
        <f>IFERROR(IF(VLOOKUP($A32,'Wikia | Gehege'!$A:$AL,27,FALSE)=1,VLOOKUP($A32,'Wikia | Gehege'!$A:$AL,20,FALSE),VLOOKUP($A32,'Wikia | Gehege'!$A:$AL,20,FALSE)+VLOOKUP($A32,'Wikia | Gehege'!$A:$AL,27,FALSE)*($I32)-1*$I32),0)</f>
        <v>0</v>
      </c>
      <c r="R32" s="87"/>
      <c r="S32" s="94"/>
      <c r="T32" s="38">
        <f>IFERROR(VLOOKUP($A32,'Wikia | Gehege'!$A:$AL,17,FALSE)+(($S32-1)*$F32),0)</f>
        <v>1070</v>
      </c>
      <c r="U32" s="38">
        <f>IFERROR(VLOOKUP($A32,'Wikia | Gehege'!$A:$AL,18,FALSE)+(($S32-1)*$G32),0)</f>
        <v>0</v>
      </c>
      <c r="V32" s="38">
        <f>IFERROR(VLOOKUP($A32,'Wikia | Gehege'!$A:$AL,19,FALSE)+(($S32-1)*$H32),0)</f>
        <v>0</v>
      </c>
      <c r="W32" s="85">
        <f>IFERROR(VLOOKUP($A32,'Wikia | Gehege'!$A:$AL,20,FALSE)+(($S32-1)*$I32),0)</f>
        <v>0</v>
      </c>
      <c r="X32" s="87"/>
    </row>
    <row r="33" spans="1:24" ht="35.1" customHeight="1" x14ac:dyDescent="0.2">
      <c r="A33" s="140" t="str">
        <f>'Wikia | Gehege'!A33</f>
        <v>Dromedar-Kamel</v>
      </c>
      <c r="B33" s="35">
        <v>700</v>
      </c>
      <c r="C33" s="36">
        <v>0</v>
      </c>
      <c r="D33" s="36">
        <v>0</v>
      </c>
      <c r="E33" s="37">
        <v>0</v>
      </c>
      <c r="F33" s="35">
        <f>IFERROR(B33-VLOOKUP($A33,'Wikia | Gehege'!$A:$AL,17,FALSE),0)</f>
        <v>100</v>
      </c>
      <c r="G33" s="36">
        <f>IFERROR(C33-VLOOKUP($A33,'Wikia | Gehege'!$A:$AL,18,FALSE),0)</f>
        <v>0</v>
      </c>
      <c r="H33" s="36">
        <f>IFERROR(D33-VLOOKUP($A33,'Wikia | Gehege'!$A:$AL,19,FALSE),0)</f>
        <v>0</v>
      </c>
      <c r="I33" s="37">
        <f>IFERROR(E33-VLOOKUP($A33,'Wikia | Gehege'!$A:$AL,20,FALSE),0)</f>
        <v>0</v>
      </c>
      <c r="J33" s="35">
        <f>IFERROR(IF(VLOOKUP($A33,'Wikia | Gehege'!$A:$AL,26,FALSE)=1,VLOOKUP($A33,'Wikia | Gehege'!$A:$AL,17,FALSE),VLOOKUP($A33,'Wikia | Gehege'!$A:$AL,17,FALSE)+VLOOKUP($A33,'Wikia | Gehege'!$A:$AL,26,FALSE)*($F33)-1*$F33),0)</f>
        <v>700</v>
      </c>
      <c r="K33" s="36">
        <f>IFERROR(IF(VLOOKUP($A33,'Wikia | Gehege'!$A:$AL,26,FALSE)=1,VLOOKUP($A33,'Wikia | Gehege'!$A:$AL,18,FALSE),VLOOKUP($A33,'Wikia | Gehege'!$A:$AL,18,FALSE)+VLOOKUP($A33,'Wikia | Gehege'!$A:$AL,26,FALSE)*($G33)-1*$G33),0)</f>
        <v>0</v>
      </c>
      <c r="L33" s="36">
        <f>IFERROR(IF(VLOOKUP($A33,'Wikia | Gehege'!$A:$AL,26,FALSE)=1,VLOOKUP($A33,'Wikia | Gehege'!$A:$AL,19,FALSE),VLOOKUP($A33,'Wikia | Gehege'!$A:$AL,19,FALSE)+VLOOKUP($A33,'Wikia | Gehege'!$A:$AL,26,FALSE)*($H33)-1*$H33),0)</f>
        <v>0</v>
      </c>
      <c r="M33" s="37">
        <f>IFERROR(IF(VLOOKUP($A33,'Wikia | Gehege'!$A:$AL,26,FALSE)=1,VLOOKUP($A33,'Wikia | Gehege'!$A:$AL,20,FALSE),VLOOKUP($A33,'Wikia | Gehege'!$A:$AL,20,FALSE)+VLOOKUP($A33,'Wikia | Gehege'!$A:$AL,26,FALSE)*($I33)-1*$I33),0)</f>
        <v>0</v>
      </c>
      <c r="N33" s="35">
        <f>IFERROR(IF(VLOOKUP($A33,'Wikia | Gehege'!$A:$AL,27,FALSE)=1,VLOOKUP($A33,'Wikia | Gehege'!$A:$AL,17,FALSE),VLOOKUP($A33,'Wikia | Gehege'!$A:$AL,17,FALSE)+VLOOKUP($A33,'Wikia | Gehege'!$A:$AL,27,FALSE)*($F33)-1*$F33),0)</f>
        <v>1800</v>
      </c>
      <c r="O33" s="36">
        <f>IFERROR(IF(VLOOKUP($A33,'Wikia | Gehege'!$A:$AL,27,FALSE)=1,VLOOKUP($A33,'Wikia | Gehege'!$A:$AL,18,FALSE),VLOOKUP($A33,'Wikia | Gehege'!$A:$AL,18,FALSE)+VLOOKUP($A33,'Wikia | Gehege'!$A:$AL,27,FALSE)*($G33)-1*$G33),0)</f>
        <v>0</v>
      </c>
      <c r="P33" s="36">
        <f>IFERROR(IF(VLOOKUP($A33,'Wikia | Gehege'!$A:$AL,27,FALSE)=1,VLOOKUP($A33,'Wikia | Gehege'!$A:$AL,19,FALSE),VLOOKUP($A33,'Wikia | Gehege'!$A:$AL,19,FALSE)+VLOOKUP($A33,'Wikia | Gehege'!$A:$AL,27,FALSE)*($H33)-1*$H33),0)</f>
        <v>0</v>
      </c>
      <c r="Q33" s="37">
        <f>IFERROR(IF(VLOOKUP($A33,'Wikia | Gehege'!$A:$AL,27,FALSE)=1,VLOOKUP($A33,'Wikia | Gehege'!$A:$AL,20,FALSE),VLOOKUP($A33,'Wikia | Gehege'!$A:$AL,20,FALSE)+VLOOKUP($A33,'Wikia | Gehege'!$A:$AL,27,FALSE)*($I33)-1*$I33),0)</f>
        <v>0</v>
      </c>
      <c r="R33" s="87"/>
      <c r="S33" s="94"/>
      <c r="T33" s="38">
        <f>IFERROR(VLOOKUP($A33,'Wikia | Gehege'!$A:$AL,17,FALSE)+(($S33-1)*$F33),0)</f>
        <v>500</v>
      </c>
      <c r="U33" s="38">
        <f>IFERROR(VLOOKUP($A33,'Wikia | Gehege'!$A:$AL,18,FALSE)+(($S33-1)*$G33),0)</f>
        <v>0</v>
      </c>
      <c r="V33" s="38">
        <f>IFERROR(VLOOKUP($A33,'Wikia | Gehege'!$A:$AL,19,FALSE)+(($S33-1)*$H33),0)</f>
        <v>0</v>
      </c>
      <c r="W33" s="85">
        <f>IFERROR(VLOOKUP($A33,'Wikia | Gehege'!$A:$AL,20,FALSE)+(($S33-1)*$I33),0)</f>
        <v>0</v>
      </c>
      <c r="X33" s="87"/>
    </row>
    <row r="34" spans="1:24" ht="35.1" customHeight="1" x14ac:dyDescent="0.2">
      <c r="A34" s="140" t="str">
        <f>'Wikia | Gehege'!A34</f>
        <v>Eisbär</v>
      </c>
      <c r="B34" s="35">
        <v>3900</v>
      </c>
      <c r="C34" s="36">
        <v>0</v>
      </c>
      <c r="D34" s="36">
        <v>1080</v>
      </c>
      <c r="E34" s="37">
        <v>0</v>
      </c>
      <c r="F34" s="35">
        <f>IFERROR(B34-VLOOKUP($A34,'Wikia | Gehege'!$A:$AL,17,FALSE),0)</f>
        <v>650</v>
      </c>
      <c r="G34" s="36">
        <f>IFERROR(C34-VLOOKUP($A34,'Wikia | Gehege'!$A:$AL,18,FALSE),0)</f>
        <v>0</v>
      </c>
      <c r="H34" s="36">
        <f>IFERROR(D34-VLOOKUP($A34,'Wikia | Gehege'!$A:$AL,19,FALSE),0)</f>
        <v>360</v>
      </c>
      <c r="I34" s="37">
        <f>IFERROR(E34-VLOOKUP($A34,'Wikia | Gehege'!$A:$AL,20,FALSE),0)</f>
        <v>0</v>
      </c>
      <c r="J34" s="35">
        <f>IFERROR(IF(VLOOKUP($A34,'Wikia | Gehege'!$A:$AL,26,FALSE)=1,VLOOKUP($A34,'Wikia | Gehege'!$A:$AL,17,FALSE),VLOOKUP($A34,'Wikia | Gehege'!$A:$AL,17,FALSE)+VLOOKUP($A34,'Wikia | Gehege'!$A:$AL,26,FALSE)*($F34)-1*$F34),0)</f>
        <v>3250</v>
      </c>
      <c r="K34" s="36">
        <f>IFERROR(IF(VLOOKUP($A34,'Wikia | Gehege'!$A:$AL,26,FALSE)=1,VLOOKUP($A34,'Wikia | Gehege'!$A:$AL,18,FALSE),VLOOKUP($A34,'Wikia | Gehege'!$A:$AL,18,FALSE)+VLOOKUP($A34,'Wikia | Gehege'!$A:$AL,26,FALSE)*($G34)-1*$G34),0)</f>
        <v>0</v>
      </c>
      <c r="L34" s="36">
        <f>IFERROR(IF(VLOOKUP($A34,'Wikia | Gehege'!$A:$AL,26,FALSE)=1,VLOOKUP($A34,'Wikia | Gehege'!$A:$AL,19,FALSE),VLOOKUP($A34,'Wikia | Gehege'!$A:$AL,19,FALSE)+VLOOKUP($A34,'Wikia | Gehege'!$A:$AL,26,FALSE)*($H34)-1*$H34),0)</f>
        <v>720</v>
      </c>
      <c r="M34" s="37">
        <f>IFERROR(IF(VLOOKUP($A34,'Wikia | Gehege'!$A:$AL,26,FALSE)=1,VLOOKUP($A34,'Wikia | Gehege'!$A:$AL,20,FALSE),VLOOKUP($A34,'Wikia | Gehege'!$A:$AL,20,FALSE)+VLOOKUP($A34,'Wikia | Gehege'!$A:$AL,26,FALSE)*($I34)-1*$I34),0)</f>
        <v>0</v>
      </c>
      <c r="N34" s="35">
        <f>IFERROR(IF(VLOOKUP($A34,'Wikia | Gehege'!$A:$AL,27,FALSE)=1,VLOOKUP($A34,'Wikia | Gehege'!$A:$AL,17,FALSE),VLOOKUP($A34,'Wikia | Gehege'!$A:$AL,17,FALSE)+VLOOKUP($A34,'Wikia | Gehege'!$A:$AL,27,FALSE)*($F34)-1*$F34),0)</f>
        <v>3900</v>
      </c>
      <c r="O34" s="36">
        <f>IFERROR(IF(VLOOKUP($A34,'Wikia | Gehege'!$A:$AL,27,FALSE)=1,VLOOKUP($A34,'Wikia | Gehege'!$A:$AL,18,FALSE),VLOOKUP($A34,'Wikia | Gehege'!$A:$AL,18,FALSE)+VLOOKUP($A34,'Wikia | Gehege'!$A:$AL,27,FALSE)*($G34)-1*$G34),0)</f>
        <v>0</v>
      </c>
      <c r="P34" s="36">
        <f>IFERROR(IF(VLOOKUP($A34,'Wikia | Gehege'!$A:$AL,27,FALSE)=1,VLOOKUP($A34,'Wikia | Gehege'!$A:$AL,19,FALSE),VLOOKUP($A34,'Wikia | Gehege'!$A:$AL,19,FALSE)+VLOOKUP($A34,'Wikia | Gehege'!$A:$AL,27,FALSE)*($H34)-1*$H34),0)</f>
        <v>1080</v>
      </c>
      <c r="Q34" s="37">
        <f>IFERROR(IF(VLOOKUP($A34,'Wikia | Gehege'!$A:$AL,27,FALSE)=1,VLOOKUP($A34,'Wikia | Gehege'!$A:$AL,20,FALSE),VLOOKUP($A34,'Wikia | Gehege'!$A:$AL,20,FALSE)+VLOOKUP($A34,'Wikia | Gehege'!$A:$AL,27,FALSE)*($I34)-1*$I34),0)</f>
        <v>0</v>
      </c>
      <c r="R34" s="87"/>
      <c r="S34" s="94"/>
      <c r="T34" s="38">
        <f>IFERROR(VLOOKUP($A34,'Wikia | Gehege'!$A:$AL,17,FALSE)+(($S34-1)*$F34),0)</f>
        <v>2600</v>
      </c>
      <c r="U34" s="38">
        <f>IFERROR(VLOOKUP($A34,'Wikia | Gehege'!$A:$AL,18,FALSE)+(($S34-1)*$G34),0)</f>
        <v>0</v>
      </c>
      <c r="V34" s="38">
        <f>IFERROR(VLOOKUP($A34,'Wikia | Gehege'!$A:$AL,19,FALSE)+(($S34-1)*$H34),0)</f>
        <v>360</v>
      </c>
      <c r="W34" s="85">
        <f>IFERROR(VLOOKUP($A34,'Wikia | Gehege'!$A:$AL,20,FALSE)+(($S34-1)*$I34),0)</f>
        <v>0</v>
      </c>
      <c r="X34" s="87"/>
    </row>
    <row r="35" spans="1:24" ht="35.1" customHeight="1" x14ac:dyDescent="0.2">
      <c r="A35" s="140" t="str">
        <f>'Wikia | Gehege'!A35</f>
        <v>Elch</v>
      </c>
      <c r="B35" s="35">
        <v>1100</v>
      </c>
      <c r="C35" s="36">
        <v>0</v>
      </c>
      <c r="D35" s="36">
        <v>30</v>
      </c>
      <c r="E35" s="37">
        <v>0</v>
      </c>
      <c r="F35" s="35">
        <f>IFERROR(B35-VLOOKUP($A35,'Wikia | Gehege'!$A:$AL,17,FALSE),0)</f>
        <v>346</v>
      </c>
      <c r="G35" s="36">
        <f>IFERROR(C35-VLOOKUP($A35,'Wikia | Gehege'!$A:$AL,18,FALSE),0)</f>
        <v>0</v>
      </c>
      <c r="H35" s="36">
        <f>IFERROR(D35-VLOOKUP($A35,'Wikia | Gehege'!$A:$AL,19,FALSE),0)</f>
        <v>10</v>
      </c>
      <c r="I35" s="37">
        <f>IFERROR(E35-VLOOKUP($A35,'Wikia | Gehege'!$A:$AL,20,FALSE),0)</f>
        <v>0</v>
      </c>
      <c r="J35" s="35">
        <f>IFERROR(IF(VLOOKUP($A35,'Wikia | Gehege'!$A:$AL,26,FALSE)=1,VLOOKUP($A35,'Wikia | Gehege'!$A:$AL,17,FALSE),VLOOKUP($A35,'Wikia | Gehege'!$A:$AL,17,FALSE)+VLOOKUP($A35,'Wikia | Gehege'!$A:$AL,26,FALSE)*($F35)-1*$F35),0)</f>
        <v>754</v>
      </c>
      <c r="K35" s="36">
        <f>IFERROR(IF(VLOOKUP($A35,'Wikia | Gehege'!$A:$AL,26,FALSE)=1,VLOOKUP($A35,'Wikia | Gehege'!$A:$AL,18,FALSE),VLOOKUP($A35,'Wikia | Gehege'!$A:$AL,18,FALSE)+VLOOKUP($A35,'Wikia | Gehege'!$A:$AL,26,FALSE)*($G35)-1*$G35),0)</f>
        <v>0</v>
      </c>
      <c r="L35" s="36">
        <f>IFERROR(IF(VLOOKUP($A35,'Wikia | Gehege'!$A:$AL,26,FALSE)=1,VLOOKUP($A35,'Wikia | Gehege'!$A:$AL,19,FALSE),VLOOKUP($A35,'Wikia | Gehege'!$A:$AL,19,FALSE)+VLOOKUP($A35,'Wikia | Gehege'!$A:$AL,26,FALSE)*($H35)-1*$H35),0)</f>
        <v>20</v>
      </c>
      <c r="M35" s="37">
        <f>IFERROR(IF(VLOOKUP($A35,'Wikia | Gehege'!$A:$AL,26,FALSE)=1,VLOOKUP($A35,'Wikia | Gehege'!$A:$AL,20,FALSE),VLOOKUP($A35,'Wikia | Gehege'!$A:$AL,20,FALSE)+VLOOKUP($A35,'Wikia | Gehege'!$A:$AL,26,FALSE)*($I35)-1*$I35),0)</f>
        <v>0</v>
      </c>
      <c r="N35" s="35">
        <f>IFERROR(IF(VLOOKUP($A35,'Wikia | Gehege'!$A:$AL,27,FALSE)=1,VLOOKUP($A35,'Wikia | Gehege'!$A:$AL,17,FALSE),VLOOKUP($A35,'Wikia | Gehege'!$A:$AL,17,FALSE)+VLOOKUP($A35,'Wikia | Gehege'!$A:$AL,27,FALSE)*($F35)-1*$F35),0)</f>
        <v>1792</v>
      </c>
      <c r="O35" s="36">
        <f>IFERROR(IF(VLOOKUP($A35,'Wikia | Gehege'!$A:$AL,27,FALSE)=1,VLOOKUP($A35,'Wikia | Gehege'!$A:$AL,18,FALSE),VLOOKUP($A35,'Wikia | Gehege'!$A:$AL,18,FALSE)+VLOOKUP($A35,'Wikia | Gehege'!$A:$AL,27,FALSE)*($G35)-1*$G35),0)</f>
        <v>0</v>
      </c>
      <c r="P35" s="36">
        <f>IFERROR(IF(VLOOKUP($A35,'Wikia | Gehege'!$A:$AL,27,FALSE)=1,VLOOKUP($A35,'Wikia | Gehege'!$A:$AL,19,FALSE),VLOOKUP($A35,'Wikia | Gehege'!$A:$AL,19,FALSE)+VLOOKUP($A35,'Wikia | Gehege'!$A:$AL,27,FALSE)*($H35)-1*$H35),0)</f>
        <v>50</v>
      </c>
      <c r="Q35" s="37">
        <f>IFERROR(IF(VLOOKUP($A35,'Wikia | Gehege'!$A:$AL,27,FALSE)=1,VLOOKUP($A35,'Wikia | Gehege'!$A:$AL,20,FALSE),VLOOKUP($A35,'Wikia | Gehege'!$A:$AL,20,FALSE)+VLOOKUP($A35,'Wikia | Gehege'!$A:$AL,27,FALSE)*($I35)-1*$I35),0)</f>
        <v>0</v>
      </c>
      <c r="R35" s="87"/>
      <c r="S35" s="94"/>
      <c r="T35" s="38">
        <f>IFERROR(VLOOKUP($A35,'Wikia | Gehege'!$A:$AL,17,FALSE)+(($S35-1)*$F35),0)</f>
        <v>408</v>
      </c>
      <c r="U35" s="38">
        <f>IFERROR(VLOOKUP($A35,'Wikia | Gehege'!$A:$AL,18,FALSE)+(($S35-1)*$G35),0)</f>
        <v>0</v>
      </c>
      <c r="V35" s="38">
        <f>IFERROR(VLOOKUP($A35,'Wikia | Gehege'!$A:$AL,19,FALSE)+(($S35-1)*$H35),0)</f>
        <v>10</v>
      </c>
      <c r="W35" s="85">
        <f>IFERROR(VLOOKUP($A35,'Wikia | Gehege'!$A:$AL,20,FALSE)+(($S35-1)*$I35),0)</f>
        <v>0</v>
      </c>
      <c r="X35" s="87"/>
    </row>
    <row r="36" spans="1:24" ht="35.1" customHeight="1" x14ac:dyDescent="0.2">
      <c r="A36" s="140" t="str">
        <f>'Wikia | Gehege'!A36</f>
        <v>Emu</v>
      </c>
      <c r="B36" s="35">
        <v>525</v>
      </c>
      <c r="C36" s="36">
        <v>0</v>
      </c>
      <c r="D36" s="36">
        <v>0</v>
      </c>
      <c r="E36" s="37">
        <v>0</v>
      </c>
      <c r="F36" s="35">
        <f>IFERROR(B36-VLOOKUP($A36,'Wikia | Gehege'!$A:$AL,17,FALSE),0)</f>
        <v>75</v>
      </c>
      <c r="G36" s="36">
        <f>IFERROR(C36-VLOOKUP($A36,'Wikia | Gehege'!$A:$AL,18,FALSE),0)</f>
        <v>0</v>
      </c>
      <c r="H36" s="36">
        <f>IFERROR(D36-VLOOKUP($A36,'Wikia | Gehege'!$A:$AL,19,FALSE),0)</f>
        <v>0</v>
      </c>
      <c r="I36" s="37">
        <f>IFERROR(E36-VLOOKUP($A36,'Wikia | Gehege'!$A:$AL,20,FALSE),0)</f>
        <v>0</v>
      </c>
      <c r="J36" s="35">
        <f>IFERROR(IF(VLOOKUP($A36,'Wikia | Gehege'!$A:$AL,26,FALSE)=1,VLOOKUP($A36,'Wikia | Gehege'!$A:$AL,17,FALSE),VLOOKUP($A36,'Wikia | Gehege'!$A:$AL,17,FALSE)+VLOOKUP($A36,'Wikia | Gehege'!$A:$AL,26,FALSE)*($F36)-1*$F36),0)</f>
        <v>450</v>
      </c>
      <c r="K36" s="36">
        <f>IFERROR(IF(VLOOKUP($A36,'Wikia | Gehege'!$A:$AL,26,FALSE)=1,VLOOKUP($A36,'Wikia | Gehege'!$A:$AL,18,FALSE),VLOOKUP($A36,'Wikia | Gehege'!$A:$AL,18,FALSE)+VLOOKUP($A36,'Wikia | Gehege'!$A:$AL,26,FALSE)*($G36)-1*$G36),0)</f>
        <v>0</v>
      </c>
      <c r="L36" s="36">
        <f>IFERROR(IF(VLOOKUP($A36,'Wikia | Gehege'!$A:$AL,26,FALSE)=1,VLOOKUP($A36,'Wikia | Gehege'!$A:$AL,19,FALSE),VLOOKUP($A36,'Wikia | Gehege'!$A:$AL,19,FALSE)+VLOOKUP($A36,'Wikia | Gehege'!$A:$AL,26,FALSE)*($H36)-1*$H36),0)</f>
        <v>0</v>
      </c>
      <c r="M36" s="37">
        <f>IFERROR(IF(VLOOKUP($A36,'Wikia | Gehege'!$A:$AL,26,FALSE)=1,VLOOKUP($A36,'Wikia | Gehege'!$A:$AL,20,FALSE),VLOOKUP($A36,'Wikia | Gehege'!$A:$AL,20,FALSE)+VLOOKUP($A36,'Wikia | Gehege'!$A:$AL,26,FALSE)*($I36)-1*$I36),0)</f>
        <v>0</v>
      </c>
      <c r="N36" s="35">
        <f>IFERROR(IF(VLOOKUP($A36,'Wikia | Gehege'!$A:$AL,27,FALSE)=1,VLOOKUP($A36,'Wikia | Gehege'!$A:$AL,17,FALSE),VLOOKUP($A36,'Wikia | Gehege'!$A:$AL,17,FALSE)+VLOOKUP($A36,'Wikia | Gehege'!$A:$AL,27,FALSE)*($F36)-1*$F36),0)</f>
        <v>825</v>
      </c>
      <c r="O36" s="36">
        <f>IFERROR(IF(VLOOKUP($A36,'Wikia | Gehege'!$A:$AL,27,FALSE)=1,VLOOKUP($A36,'Wikia | Gehege'!$A:$AL,18,FALSE),VLOOKUP($A36,'Wikia | Gehege'!$A:$AL,18,FALSE)+VLOOKUP($A36,'Wikia | Gehege'!$A:$AL,27,FALSE)*($G36)-1*$G36),0)</f>
        <v>0</v>
      </c>
      <c r="P36" s="36">
        <f>IFERROR(IF(VLOOKUP($A36,'Wikia | Gehege'!$A:$AL,27,FALSE)=1,VLOOKUP($A36,'Wikia | Gehege'!$A:$AL,19,FALSE),VLOOKUP($A36,'Wikia | Gehege'!$A:$AL,19,FALSE)+VLOOKUP($A36,'Wikia | Gehege'!$A:$AL,27,FALSE)*($H36)-1*$H36),0)</f>
        <v>0</v>
      </c>
      <c r="Q36" s="37">
        <f>IFERROR(IF(VLOOKUP($A36,'Wikia | Gehege'!$A:$AL,27,FALSE)=1,VLOOKUP($A36,'Wikia | Gehege'!$A:$AL,20,FALSE),VLOOKUP($A36,'Wikia | Gehege'!$A:$AL,20,FALSE)+VLOOKUP($A36,'Wikia | Gehege'!$A:$AL,27,FALSE)*($I36)-1*$I36),0)</f>
        <v>0</v>
      </c>
      <c r="R36" s="87"/>
      <c r="S36" s="94"/>
      <c r="T36" s="38">
        <f>IFERROR(VLOOKUP($A36,'Wikia | Gehege'!$A:$AL,17,FALSE)+(($S36-1)*$F36),0)</f>
        <v>375</v>
      </c>
      <c r="U36" s="38">
        <f>IFERROR(VLOOKUP($A36,'Wikia | Gehege'!$A:$AL,18,FALSE)+(($S36-1)*$G36),0)</f>
        <v>0</v>
      </c>
      <c r="V36" s="38">
        <f>IFERROR(VLOOKUP($A36,'Wikia | Gehege'!$A:$AL,19,FALSE)+(($S36-1)*$H36),0)</f>
        <v>0</v>
      </c>
      <c r="W36" s="85">
        <f>IFERROR(VLOOKUP($A36,'Wikia | Gehege'!$A:$AL,20,FALSE)+(($S36-1)*$I36),0)</f>
        <v>0</v>
      </c>
      <c r="X36" s="87"/>
    </row>
    <row r="37" spans="1:24" ht="35.1" customHeight="1" x14ac:dyDescent="0.2">
      <c r="A37" s="140" t="str">
        <f>'Wikia | Gehege'!A37</f>
        <v xml:space="preserve">Erdferkel </v>
      </c>
      <c r="B37" s="35">
        <v>390</v>
      </c>
      <c r="C37" s="36">
        <v>0</v>
      </c>
      <c r="D37" s="36">
        <v>0</v>
      </c>
      <c r="E37" s="37">
        <v>0</v>
      </c>
      <c r="F37" s="35">
        <f>IFERROR(B37-VLOOKUP($A37,'Wikia | Gehege'!$A:$AL,17,FALSE),0)</f>
        <v>60</v>
      </c>
      <c r="G37" s="36">
        <f>IFERROR(C37-VLOOKUP($A37,'Wikia | Gehege'!$A:$AL,18,FALSE),0)</f>
        <v>0</v>
      </c>
      <c r="H37" s="36">
        <f>IFERROR(D37-VLOOKUP($A37,'Wikia | Gehege'!$A:$AL,19,FALSE),0)</f>
        <v>0</v>
      </c>
      <c r="I37" s="37">
        <f>IFERROR(E37-VLOOKUP($A37,'Wikia | Gehege'!$A:$AL,20,FALSE),0)</f>
        <v>0</v>
      </c>
      <c r="J37" s="35">
        <f>IFERROR(IF(VLOOKUP($A37,'Wikia | Gehege'!$A:$AL,26,FALSE)=1,VLOOKUP($A37,'Wikia | Gehege'!$A:$AL,17,FALSE),VLOOKUP($A37,'Wikia | Gehege'!$A:$AL,17,FALSE)+VLOOKUP($A37,'Wikia | Gehege'!$A:$AL,26,FALSE)*($F37)-1*$F37),0)</f>
        <v>330</v>
      </c>
      <c r="K37" s="36">
        <f>IFERROR(IF(VLOOKUP($A37,'Wikia | Gehege'!$A:$AL,26,FALSE)=1,VLOOKUP($A37,'Wikia | Gehege'!$A:$AL,18,FALSE),VLOOKUP($A37,'Wikia | Gehege'!$A:$AL,18,FALSE)+VLOOKUP($A37,'Wikia | Gehege'!$A:$AL,26,FALSE)*($G37)-1*$G37),0)</f>
        <v>0</v>
      </c>
      <c r="L37" s="36">
        <f>IFERROR(IF(VLOOKUP($A37,'Wikia | Gehege'!$A:$AL,26,FALSE)=1,VLOOKUP($A37,'Wikia | Gehege'!$A:$AL,19,FALSE),VLOOKUP($A37,'Wikia | Gehege'!$A:$AL,19,FALSE)+VLOOKUP($A37,'Wikia | Gehege'!$A:$AL,26,FALSE)*($H37)-1*$H37),0)</f>
        <v>0</v>
      </c>
      <c r="M37" s="37">
        <f>IFERROR(IF(VLOOKUP($A37,'Wikia | Gehege'!$A:$AL,26,FALSE)=1,VLOOKUP($A37,'Wikia | Gehege'!$A:$AL,20,FALSE),VLOOKUP($A37,'Wikia | Gehege'!$A:$AL,20,FALSE)+VLOOKUP($A37,'Wikia | Gehege'!$A:$AL,26,FALSE)*($I37)-1*$I37),0)</f>
        <v>0</v>
      </c>
      <c r="N37" s="35">
        <f>IFERROR(IF(VLOOKUP($A37,'Wikia | Gehege'!$A:$AL,27,FALSE)=1,VLOOKUP($A37,'Wikia | Gehege'!$A:$AL,17,FALSE),VLOOKUP($A37,'Wikia | Gehege'!$A:$AL,17,FALSE)+VLOOKUP($A37,'Wikia | Gehege'!$A:$AL,27,FALSE)*($F37)-1*$F37),0)</f>
        <v>390</v>
      </c>
      <c r="O37" s="36">
        <f>IFERROR(IF(VLOOKUP($A37,'Wikia | Gehege'!$A:$AL,27,FALSE)=1,VLOOKUP($A37,'Wikia | Gehege'!$A:$AL,18,FALSE),VLOOKUP($A37,'Wikia | Gehege'!$A:$AL,18,FALSE)+VLOOKUP($A37,'Wikia | Gehege'!$A:$AL,27,FALSE)*($G37)-1*$G37),0)</f>
        <v>0</v>
      </c>
      <c r="P37" s="36">
        <f>IFERROR(IF(VLOOKUP($A37,'Wikia | Gehege'!$A:$AL,27,FALSE)=1,VLOOKUP($A37,'Wikia | Gehege'!$A:$AL,19,FALSE),VLOOKUP($A37,'Wikia | Gehege'!$A:$AL,19,FALSE)+VLOOKUP($A37,'Wikia | Gehege'!$A:$AL,27,FALSE)*($H37)-1*$H37),0)</f>
        <v>0</v>
      </c>
      <c r="Q37" s="37">
        <f>IFERROR(IF(VLOOKUP($A37,'Wikia | Gehege'!$A:$AL,27,FALSE)=1,VLOOKUP($A37,'Wikia | Gehege'!$A:$AL,20,FALSE),VLOOKUP($A37,'Wikia | Gehege'!$A:$AL,20,FALSE)+VLOOKUP($A37,'Wikia | Gehege'!$A:$AL,27,FALSE)*($I37)-1*$I37),0)</f>
        <v>0</v>
      </c>
      <c r="R37" s="87"/>
      <c r="S37" s="94"/>
      <c r="T37" s="38">
        <f>IFERROR(VLOOKUP($A37,'Wikia | Gehege'!$A:$AL,17,FALSE)+(($S37-1)*$F37),0)</f>
        <v>270</v>
      </c>
      <c r="U37" s="38">
        <f>IFERROR(VLOOKUP($A37,'Wikia | Gehege'!$A:$AL,18,FALSE)+(($S37-1)*$G37),0)</f>
        <v>0</v>
      </c>
      <c r="V37" s="38">
        <f>IFERROR(VLOOKUP($A37,'Wikia | Gehege'!$A:$AL,19,FALSE)+(($S37-1)*$H37),0)</f>
        <v>0</v>
      </c>
      <c r="W37" s="85">
        <f>IFERROR(VLOOKUP($A37,'Wikia | Gehege'!$A:$AL,20,FALSE)+(($S37-1)*$I37),0)</f>
        <v>0</v>
      </c>
      <c r="X37" s="87"/>
    </row>
    <row r="38" spans="1:24" ht="35.1" customHeight="1" x14ac:dyDescent="0.2">
      <c r="A38" s="140" t="str">
        <f>'Wikia | Gehege'!A38</f>
        <v>Erdmännchen</v>
      </c>
      <c r="B38" s="35">
        <v>194</v>
      </c>
      <c r="C38" s="36">
        <v>0</v>
      </c>
      <c r="D38" s="36">
        <v>0</v>
      </c>
      <c r="E38" s="37">
        <v>0</v>
      </c>
      <c r="F38" s="35">
        <f>IFERROR(B38-VLOOKUP($A38,'Wikia | Gehege'!$A:$AL,17,FALSE),0)</f>
        <v>14</v>
      </c>
      <c r="G38" s="36">
        <f>IFERROR(C38-VLOOKUP($A38,'Wikia | Gehege'!$A:$AL,18,FALSE),0)</f>
        <v>0</v>
      </c>
      <c r="H38" s="36">
        <f>IFERROR(D38-VLOOKUP($A38,'Wikia | Gehege'!$A:$AL,19,FALSE),0)</f>
        <v>0</v>
      </c>
      <c r="I38" s="37">
        <f>IFERROR(E38-VLOOKUP($A38,'Wikia | Gehege'!$A:$AL,20,FALSE),0)</f>
        <v>0</v>
      </c>
      <c r="J38" s="35">
        <f>IFERROR(IF(VLOOKUP($A38,'Wikia | Gehege'!$A:$AL,26,FALSE)=1,VLOOKUP($A38,'Wikia | Gehege'!$A:$AL,17,FALSE),VLOOKUP($A38,'Wikia | Gehege'!$A:$AL,17,FALSE)+VLOOKUP($A38,'Wikia | Gehege'!$A:$AL,26,FALSE)*($F38)-1*$F38),0)</f>
        <v>194</v>
      </c>
      <c r="K38" s="36">
        <f>IFERROR(IF(VLOOKUP($A38,'Wikia | Gehege'!$A:$AL,26,FALSE)=1,VLOOKUP($A38,'Wikia | Gehege'!$A:$AL,18,FALSE),VLOOKUP($A38,'Wikia | Gehege'!$A:$AL,18,FALSE)+VLOOKUP($A38,'Wikia | Gehege'!$A:$AL,26,FALSE)*($G38)-1*$G38),0)</f>
        <v>0</v>
      </c>
      <c r="L38" s="36">
        <f>IFERROR(IF(VLOOKUP($A38,'Wikia | Gehege'!$A:$AL,26,FALSE)=1,VLOOKUP($A38,'Wikia | Gehege'!$A:$AL,19,FALSE),VLOOKUP($A38,'Wikia | Gehege'!$A:$AL,19,FALSE)+VLOOKUP($A38,'Wikia | Gehege'!$A:$AL,26,FALSE)*($H38)-1*$H38),0)</f>
        <v>0</v>
      </c>
      <c r="M38" s="37">
        <f>IFERROR(IF(VLOOKUP($A38,'Wikia | Gehege'!$A:$AL,26,FALSE)=1,VLOOKUP($A38,'Wikia | Gehege'!$A:$AL,20,FALSE),VLOOKUP($A38,'Wikia | Gehege'!$A:$AL,20,FALSE)+VLOOKUP($A38,'Wikia | Gehege'!$A:$AL,26,FALSE)*($I38)-1*$I38),0)</f>
        <v>0</v>
      </c>
      <c r="N38" s="35">
        <f>IFERROR(IF(VLOOKUP($A38,'Wikia | Gehege'!$A:$AL,27,FALSE)=1,VLOOKUP($A38,'Wikia | Gehege'!$A:$AL,17,FALSE),VLOOKUP($A38,'Wikia | Gehege'!$A:$AL,17,FALSE)+VLOOKUP($A38,'Wikia | Gehege'!$A:$AL,27,FALSE)*($F38)-1*$F38),0)</f>
        <v>586</v>
      </c>
      <c r="O38" s="36">
        <f>IFERROR(IF(VLOOKUP($A38,'Wikia | Gehege'!$A:$AL,27,FALSE)=1,VLOOKUP($A38,'Wikia | Gehege'!$A:$AL,18,FALSE),VLOOKUP($A38,'Wikia | Gehege'!$A:$AL,18,FALSE)+VLOOKUP($A38,'Wikia | Gehege'!$A:$AL,27,FALSE)*($G38)-1*$G38),0)</f>
        <v>0</v>
      </c>
      <c r="P38" s="36">
        <f>IFERROR(IF(VLOOKUP($A38,'Wikia | Gehege'!$A:$AL,27,FALSE)=1,VLOOKUP($A38,'Wikia | Gehege'!$A:$AL,19,FALSE),VLOOKUP($A38,'Wikia | Gehege'!$A:$AL,19,FALSE)+VLOOKUP($A38,'Wikia | Gehege'!$A:$AL,27,FALSE)*($H38)-1*$H38),0)</f>
        <v>0</v>
      </c>
      <c r="Q38" s="37">
        <f>IFERROR(IF(VLOOKUP($A38,'Wikia | Gehege'!$A:$AL,27,FALSE)=1,VLOOKUP($A38,'Wikia | Gehege'!$A:$AL,20,FALSE),VLOOKUP($A38,'Wikia | Gehege'!$A:$AL,20,FALSE)+VLOOKUP($A38,'Wikia | Gehege'!$A:$AL,27,FALSE)*($I38)-1*$I38),0)</f>
        <v>0</v>
      </c>
      <c r="R38" s="87"/>
      <c r="S38" s="94"/>
      <c r="T38" s="38">
        <f>IFERROR(VLOOKUP($A38,'Wikia | Gehege'!$A:$AL,17,FALSE)+(($S38-1)*$F38),0)</f>
        <v>166</v>
      </c>
      <c r="U38" s="38">
        <f>IFERROR(VLOOKUP($A38,'Wikia | Gehege'!$A:$AL,18,FALSE)+(($S38-1)*$G38),0)</f>
        <v>0</v>
      </c>
      <c r="V38" s="38">
        <f>IFERROR(VLOOKUP($A38,'Wikia | Gehege'!$A:$AL,19,FALSE)+(($S38-1)*$H38),0)</f>
        <v>0</v>
      </c>
      <c r="W38" s="85">
        <f>IFERROR(VLOOKUP($A38,'Wikia | Gehege'!$A:$AL,20,FALSE)+(($S38-1)*$I38),0)</f>
        <v>0</v>
      </c>
      <c r="X38" s="87"/>
    </row>
    <row r="39" spans="1:24" ht="35.1" customHeight="1" x14ac:dyDescent="0.2">
      <c r="A39" s="140" t="str">
        <f>'Wikia | Gehege'!A39</f>
        <v>Eurasischer Luchs</v>
      </c>
      <c r="B39" s="35">
        <v>780</v>
      </c>
      <c r="C39" s="36">
        <v>0</v>
      </c>
      <c r="D39" s="36">
        <v>0</v>
      </c>
      <c r="E39" s="37">
        <v>0</v>
      </c>
      <c r="F39" s="35">
        <f>IFERROR(B39-VLOOKUP($A39,'Wikia | Gehege'!$A:$AL,17,FALSE),0)</f>
        <v>165</v>
      </c>
      <c r="G39" s="36">
        <f>IFERROR(C39-VLOOKUP($A39,'Wikia | Gehege'!$A:$AL,18,FALSE),0)</f>
        <v>0</v>
      </c>
      <c r="H39" s="36">
        <f>IFERROR(D39-VLOOKUP($A39,'Wikia | Gehege'!$A:$AL,19,FALSE),0)</f>
        <v>0</v>
      </c>
      <c r="I39" s="37">
        <f>IFERROR(E39-VLOOKUP($A39,'Wikia | Gehege'!$A:$AL,20,FALSE),0)</f>
        <v>0</v>
      </c>
      <c r="J39" s="35">
        <f>IFERROR(IF(VLOOKUP($A39,'Wikia | Gehege'!$A:$AL,26,FALSE)=1,VLOOKUP($A39,'Wikia | Gehege'!$A:$AL,17,FALSE),VLOOKUP($A39,'Wikia | Gehege'!$A:$AL,17,FALSE)+VLOOKUP($A39,'Wikia | Gehege'!$A:$AL,26,FALSE)*($F39)-1*$F39),0)</f>
        <v>615</v>
      </c>
      <c r="K39" s="36">
        <f>IFERROR(IF(VLOOKUP($A39,'Wikia | Gehege'!$A:$AL,26,FALSE)=1,VLOOKUP($A39,'Wikia | Gehege'!$A:$AL,18,FALSE),VLOOKUP($A39,'Wikia | Gehege'!$A:$AL,18,FALSE)+VLOOKUP($A39,'Wikia | Gehege'!$A:$AL,26,FALSE)*($G39)-1*$G39),0)</f>
        <v>0</v>
      </c>
      <c r="L39" s="36">
        <f>IFERROR(IF(VLOOKUP($A39,'Wikia | Gehege'!$A:$AL,26,FALSE)=1,VLOOKUP($A39,'Wikia | Gehege'!$A:$AL,19,FALSE),VLOOKUP($A39,'Wikia | Gehege'!$A:$AL,19,FALSE)+VLOOKUP($A39,'Wikia | Gehege'!$A:$AL,26,FALSE)*($H39)-1*$H39),0)</f>
        <v>0</v>
      </c>
      <c r="M39" s="37">
        <f>IFERROR(IF(VLOOKUP($A39,'Wikia | Gehege'!$A:$AL,26,FALSE)=1,VLOOKUP($A39,'Wikia | Gehege'!$A:$AL,20,FALSE),VLOOKUP($A39,'Wikia | Gehege'!$A:$AL,20,FALSE)+VLOOKUP($A39,'Wikia | Gehege'!$A:$AL,26,FALSE)*($I39)-1*$I39),0)</f>
        <v>0</v>
      </c>
      <c r="N39" s="35">
        <f>IFERROR(IF(VLOOKUP($A39,'Wikia | Gehege'!$A:$AL,27,FALSE)=1,VLOOKUP($A39,'Wikia | Gehege'!$A:$AL,17,FALSE),VLOOKUP($A39,'Wikia | Gehege'!$A:$AL,17,FALSE)+VLOOKUP($A39,'Wikia | Gehege'!$A:$AL,27,FALSE)*($F39)-1*$F39),0)</f>
        <v>780</v>
      </c>
      <c r="O39" s="36">
        <f>IFERROR(IF(VLOOKUP($A39,'Wikia | Gehege'!$A:$AL,27,FALSE)=1,VLOOKUP($A39,'Wikia | Gehege'!$A:$AL,18,FALSE),VLOOKUP($A39,'Wikia | Gehege'!$A:$AL,18,FALSE)+VLOOKUP($A39,'Wikia | Gehege'!$A:$AL,27,FALSE)*($G39)-1*$G39),0)</f>
        <v>0</v>
      </c>
      <c r="P39" s="36">
        <f>IFERROR(IF(VLOOKUP($A39,'Wikia | Gehege'!$A:$AL,27,FALSE)=1,VLOOKUP($A39,'Wikia | Gehege'!$A:$AL,19,FALSE),VLOOKUP($A39,'Wikia | Gehege'!$A:$AL,19,FALSE)+VLOOKUP($A39,'Wikia | Gehege'!$A:$AL,27,FALSE)*($H39)-1*$H39),0)</f>
        <v>0</v>
      </c>
      <c r="Q39" s="37">
        <f>IFERROR(IF(VLOOKUP($A39,'Wikia | Gehege'!$A:$AL,27,FALSE)=1,VLOOKUP($A39,'Wikia | Gehege'!$A:$AL,20,FALSE),VLOOKUP($A39,'Wikia | Gehege'!$A:$AL,20,FALSE)+VLOOKUP($A39,'Wikia | Gehege'!$A:$AL,27,FALSE)*($I39)-1*$I39),0)</f>
        <v>0</v>
      </c>
      <c r="R39" s="87"/>
      <c r="S39" s="94"/>
      <c r="T39" s="38">
        <f>IFERROR(VLOOKUP($A39,'Wikia | Gehege'!$A:$AL,17,FALSE)+(($S39-1)*$F39),0)</f>
        <v>450</v>
      </c>
      <c r="U39" s="38">
        <f>IFERROR(VLOOKUP($A39,'Wikia | Gehege'!$A:$AL,18,FALSE)+(($S39-1)*$G39),0)</f>
        <v>0</v>
      </c>
      <c r="V39" s="38">
        <f>IFERROR(VLOOKUP($A39,'Wikia | Gehege'!$A:$AL,19,FALSE)+(($S39-1)*$H39),0)</f>
        <v>0</v>
      </c>
      <c r="W39" s="85">
        <f>IFERROR(VLOOKUP($A39,'Wikia | Gehege'!$A:$AL,20,FALSE)+(($S39-1)*$I39),0)</f>
        <v>0</v>
      </c>
      <c r="X39" s="87"/>
    </row>
    <row r="40" spans="1:24" ht="35.1" customHeight="1" x14ac:dyDescent="0.2">
      <c r="A40" s="140" t="str">
        <f>'Wikia | Gehege'!A40</f>
        <v>Europäischer Dachs</v>
      </c>
      <c r="B40" s="35">
        <v>396</v>
      </c>
      <c r="C40" s="36">
        <v>0</v>
      </c>
      <c r="D40" s="36">
        <v>0</v>
      </c>
      <c r="E40" s="37">
        <v>0</v>
      </c>
      <c r="F40" s="35">
        <f>IFERROR(B40-VLOOKUP($A40,'Wikia | Gehege'!$A:$AL,17,FALSE),0)</f>
        <v>36</v>
      </c>
      <c r="G40" s="36">
        <f>IFERROR(C40-VLOOKUP($A40,'Wikia | Gehege'!$A:$AL,18,FALSE),0)</f>
        <v>0</v>
      </c>
      <c r="H40" s="36">
        <f>IFERROR(D40-VLOOKUP($A40,'Wikia | Gehege'!$A:$AL,19,FALSE),0)</f>
        <v>0</v>
      </c>
      <c r="I40" s="37">
        <f>IFERROR(E40-VLOOKUP($A40,'Wikia | Gehege'!$A:$AL,20,FALSE),0)</f>
        <v>0</v>
      </c>
      <c r="J40" s="35">
        <f>IFERROR(IF(VLOOKUP($A40,'Wikia | Gehege'!$A:$AL,26,FALSE)=1,VLOOKUP($A40,'Wikia | Gehege'!$A:$AL,17,FALSE),VLOOKUP($A40,'Wikia | Gehege'!$A:$AL,17,FALSE)+VLOOKUP($A40,'Wikia | Gehege'!$A:$AL,26,FALSE)*($F40)-1*$F40),0)</f>
        <v>360</v>
      </c>
      <c r="K40" s="36">
        <f>IFERROR(IF(VLOOKUP($A40,'Wikia | Gehege'!$A:$AL,26,FALSE)=1,VLOOKUP($A40,'Wikia | Gehege'!$A:$AL,18,FALSE),VLOOKUP($A40,'Wikia | Gehege'!$A:$AL,18,FALSE)+VLOOKUP($A40,'Wikia | Gehege'!$A:$AL,26,FALSE)*($G40)-1*$G40),0)</f>
        <v>0</v>
      </c>
      <c r="L40" s="36">
        <f>IFERROR(IF(VLOOKUP($A40,'Wikia | Gehege'!$A:$AL,26,FALSE)=1,VLOOKUP($A40,'Wikia | Gehege'!$A:$AL,19,FALSE),VLOOKUP($A40,'Wikia | Gehege'!$A:$AL,19,FALSE)+VLOOKUP($A40,'Wikia | Gehege'!$A:$AL,26,FALSE)*($H40)-1*$H40),0)</f>
        <v>0</v>
      </c>
      <c r="M40" s="37">
        <f>IFERROR(IF(VLOOKUP($A40,'Wikia | Gehege'!$A:$AL,26,FALSE)=1,VLOOKUP($A40,'Wikia | Gehege'!$A:$AL,20,FALSE),VLOOKUP($A40,'Wikia | Gehege'!$A:$AL,20,FALSE)+VLOOKUP($A40,'Wikia | Gehege'!$A:$AL,26,FALSE)*($I40)-1*$I40),0)</f>
        <v>0</v>
      </c>
      <c r="N40" s="35">
        <f>IFERROR(IF(VLOOKUP($A40,'Wikia | Gehege'!$A:$AL,27,FALSE)=1,VLOOKUP($A40,'Wikia | Gehege'!$A:$AL,17,FALSE),VLOOKUP($A40,'Wikia | Gehege'!$A:$AL,17,FALSE)+VLOOKUP($A40,'Wikia | Gehege'!$A:$AL,27,FALSE)*($F40)-1*$F40),0)</f>
        <v>576</v>
      </c>
      <c r="O40" s="36">
        <f>IFERROR(IF(VLOOKUP($A40,'Wikia | Gehege'!$A:$AL,27,FALSE)=1,VLOOKUP($A40,'Wikia | Gehege'!$A:$AL,18,FALSE),VLOOKUP($A40,'Wikia | Gehege'!$A:$AL,18,FALSE)+VLOOKUP($A40,'Wikia | Gehege'!$A:$AL,27,FALSE)*($G40)-1*$G40),0)</f>
        <v>0</v>
      </c>
      <c r="P40" s="36">
        <f>IFERROR(IF(VLOOKUP($A40,'Wikia | Gehege'!$A:$AL,27,FALSE)=1,VLOOKUP($A40,'Wikia | Gehege'!$A:$AL,19,FALSE),VLOOKUP($A40,'Wikia | Gehege'!$A:$AL,19,FALSE)+VLOOKUP($A40,'Wikia | Gehege'!$A:$AL,27,FALSE)*($H40)-1*$H40),0)</f>
        <v>0</v>
      </c>
      <c r="Q40" s="37">
        <f>IFERROR(IF(VLOOKUP($A40,'Wikia | Gehege'!$A:$AL,27,FALSE)=1,VLOOKUP($A40,'Wikia | Gehege'!$A:$AL,20,FALSE),VLOOKUP($A40,'Wikia | Gehege'!$A:$AL,20,FALSE)+VLOOKUP($A40,'Wikia | Gehege'!$A:$AL,27,FALSE)*($I40)-1*$I40),0)</f>
        <v>0</v>
      </c>
      <c r="R40" s="87"/>
      <c r="S40" s="94"/>
      <c r="T40" s="38">
        <f>IFERROR(VLOOKUP($A40,'Wikia | Gehege'!$A:$AL,17,FALSE)+(($S40-1)*$F40),0)</f>
        <v>324</v>
      </c>
      <c r="U40" s="38">
        <f>IFERROR(VLOOKUP($A40,'Wikia | Gehege'!$A:$AL,18,FALSE)+(($S40-1)*$G40),0)</f>
        <v>0</v>
      </c>
      <c r="V40" s="38">
        <f>IFERROR(VLOOKUP($A40,'Wikia | Gehege'!$A:$AL,19,FALSE)+(($S40-1)*$H40),0)</f>
        <v>0</v>
      </c>
      <c r="W40" s="85">
        <f>IFERROR(VLOOKUP($A40,'Wikia | Gehege'!$A:$AL,20,FALSE)+(($S40-1)*$I40),0)</f>
        <v>0</v>
      </c>
      <c r="X40" s="87"/>
    </row>
    <row r="41" spans="1:24" ht="35.1" customHeight="1" x14ac:dyDescent="0.2">
      <c r="A41" s="140" t="str">
        <f>'Wikia | Gehege'!A41</f>
        <v>Fennek</v>
      </c>
      <c r="B41" s="35">
        <v>210</v>
      </c>
      <c r="C41" s="36">
        <v>0</v>
      </c>
      <c r="D41" s="36">
        <v>0</v>
      </c>
      <c r="E41" s="37">
        <v>0</v>
      </c>
      <c r="F41" s="35">
        <f>IFERROR(B41-VLOOKUP($A41,'Wikia | Gehege'!$A:$AL,17,FALSE),0)</f>
        <v>28</v>
      </c>
      <c r="G41" s="36">
        <f>IFERROR(C41-VLOOKUP($A41,'Wikia | Gehege'!$A:$AL,18,FALSE),0)</f>
        <v>0</v>
      </c>
      <c r="H41" s="36">
        <f>IFERROR(D41-VLOOKUP($A41,'Wikia | Gehege'!$A:$AL,19,FALSE),0)</f>
        <v>0</v>
      </c>
      <c r="I41" s="37">
        <f>IFERROR(E41-VLOOKUP($A41,'Wikia | Gehege'!$A:$AL,20,FALSE),0)</f>
        <v>0</v>
      </c>
      <c r="J41" s="35">
        <f>IFERROR(IF(VLOOKUP($A41,'Wikia | Gehege'!$A:$AL,26,FALSE)=1,VLOOKUP($A41,'Wikia | Gehege'!$A:$AL,17,FALSE),VLOOKUP($A41,'Wikia | Gehege'!$A:$AL,17,FALSE)+VLOOKUP($A41,'Wikia | Gehege'!$A:$AL,26,FALSE)*($F41)-1*$F41),0)</f>
        <v>182</v>
      </c>
      <c r="K41" s="36">
        <f>IFERROR(IF(VLOOKUP($A41,'Wikia | Gehege'!$A:$AL,26,FALSE)=1,VLOOKUP($A41,'Wikia | Gehege'!$A:$AL,18,FALSE),VLOOKUP($A41,'Wikia | Gehege'!$A:$AL,18,FALSE)+VLOOKUP($A41,'Wikia | Gehege'!$A:$AL,26,FALSE)*($G41)-1*$G41),0)</f>
        <v>0</v>
      </c>
      <c r="L41" s="36">
        <f>IFERROR(IF(VLOOKUP($A41,'Wikia | Gehege'!$A:$AL,26,FALSE)=1,VLOOKUP($A41,'Wikia | Gehege'!$A:$AL,19,FALSE),VLOOKUP($A41,'Wikia | Gehege'!$A:$AL,19,FALSE)+VLOOKUP($A41,'Wikia | Gehege'!$A:$AL,26,FALSE)*($H41)-1*$H41),0)</f>
        <v>0</v>
      </c>
      <c r="M41" s="37">
        <f>IFERROR(IF(VLOOKUP($A41,'Wikia | Gehege'!$A:$AL,26,FALSE)=1,VLOOKUP($A41,'Wikia | Gehege'!$A:$AL,20,FALSE),VLOOKUP($A41,'Wikia | Gehege'!$A:$AL,20,FALSE)+VLOOKUP($A41,'Wikia | Gehege'!$A:$AL,26,FALSE)*($I41)-1*$I41),0)</f>
        <v>0</v>
      </c>
      <c r="N41" s="35">
        <f>IFERROR(IF(VLOOKUP($A41,'Wikia | Gehege'!$A:$AL,27,FALSE)=1,VLOOKUP($A41,'Wikia | Gehege'!$A:$AL,17,FALSE),VLOOKUP($A41,'Wikia | Gehege'!$A:$AL,17,FALSE)+VLOOKUP($A41,'Wikia | Gehege'!$A:$AL,27,FALSE)*($F41)-1*$F41),0)</f>
        <v>434</v>
      </c>
      <c r="O41" s="36">
        <f>IFERROR(IF(VLOOKUP($A41,'Wikia | Gehege'!$A:$AL,27,FALSE)=1,VLOOKUP($A41,'Wikia | Gehege'!$A:$AL,18,FALSE),VLOOKUP($A41,'Wikia | Gehege'!$A:$AL,18,FALSE)+VLOOKUP($A41,'Wikia | Gehege'!$A:$AL,27,FALSE)*($G41)-1*$G41),0)</f>
        <v>0</v>
      </c>
      <c r="P41" s="36">
        <f>IFERROR(IF(VLOOKUP($A41,'Wikia | Gehege'!$A:$AL,27,FALSE)=1,VLOOKUP($A41,'Wikia | Gehege'!$A:$AL,19,FALSE),VLOOKUP($A41,'Wikia | Gehege'!$A:$AL,19,FALSE)+VLOOKUP($A41,'Wikia | Gehege'!$A:$AL,27,FALSE)*($H41)-1*$H41),0)</f>
        <v>0</v>
      </c>
      <c r="Q41" s="37">
        <f>IFERROR(IF(VLOOKUP($A41,'Wikia | Gehege'!$A:$AL,27,FALSE)=1,VLOOKUP($A41,'Wikia | Gehege'!$A:$AL,20,FALSE),VLOOKUP($A41,'Wikia | Gehege'!$A:$AL,20,FALSE)+VLOOKUP($A41,'Wikia | Gehege'!$A:$AL,27,FALSE)*($I41)-1*$I41),0)</f>
        <v>0</v>
      </c>
      <c r="R41" s="87"/>
      <c r="S41" s="94"/>
      <c r="T41" s="38">
        <f>IFERROR(VLOOKUP($A41,'Wikia | Gehege'!$A:$AL,17,FALSE)+(($S41-1)*$F41),0)</f>
        <v>154</v>
      </c>
      <c r="U41" s="38">
        <f>IFERROR(VLOOKUP($A41,'Wikia | Gehege'!$A:$AL,18,FALSE)+(($S41-1)*$G41),0)</f>
        <v>0</v>
      </c>
      <c r="V41" s="38">
        <f>IFERROR(VLOOKUP($A41,'Wikia | Gehege'!$A:$AL,19,FALSE)+(($S41-1)*$H41),0)</f>
        <v>0</v>
      </c>
      <c r="W41" s="85">
        <f>IFERROR(VLOOKUP($A41,'Wikia | Gehege'!$A:$AL,20,FALSE)+(($S41-1)*$I41),0)</f>
        <v>0</v>
      </c>
      <c r="X41" s="87"/>
    </row>
    <row r="42" spans="1:24" ht="35.1" customHeight="1" x14ac:dyDescent="0.2">
      <c r="A42" s="140" t="str">
        <f>'Wikia | Gehege'!A42</f>
        <v xml:space="preserve">Flusspferd </v>
      </c>
      <c r="B42" s="35">
        <v>1506</v>
      </c>
      <c r="C42" s="36">
        <v>0</v>
      </c>
      <c r="D42" s="36">
        <v>1506</v>
      </c>
      <c r="E42" s="37">
        <v>0</v>
      </c>
      <c r="F42" s="35">
        <f>IFERROR(B42-VLOOKUP($A42,'Wikia | Gehege'!$A:$AL,17,FALSE),0)</f>
        <v>502</v>
      </c>
      <c r="G42" s="36">
        <f>IFERROR(C42-VLOOKUP($A42,'Wikia | Gehege'!$A:$AL,18,FALSE),0)</f>
        <v>0</v>
      </c>
      <c r="H42" s="36">
        <f>IFERROR(D42-VLOOKUP($A42,'Wikia | Gehege'!$A:$AL,19,FALSE),0)</f>
        <v>502</v>
      </c>
      <c r="I42" s="37">
        <f>IFERROR(E42-VLOOKUP($A42,'Wikia | Gehege'!$A:$AL,20,FALSE),0)</f>
        <v>0</v>
      </c>
      <c r="J42" s="35">
        <f>IFERROR(IF(VLOOKUP($A42,'Wikia | Gehege'!$A:$AL,26,FALSE)=1,VLOOKUP($A42,'Wikia | Gehege'!$A:$AL,17,FALSE),VLOOKUP($A42,'Wikia | Gehege'!$A:$AL,17,FALSE)+VLOOKUP($A42,'Wikia | Gehege'!$A:$AL,26,FALSE)*($F42)-1*$F42),0)</f>
        <v>2008</v>
      </c>
      <c r="K42" s="36">
        <f>IFERROR(IF(VLOOKUP($A42,'Wikia | Gehege'!$A:$AL,26,FALSE)=1,VLOOKUP($A42,'Wikia | Gehege'!$A:$AL,18,FALSE),VLOOKUP($A42,'Wikia | Gehege'!$A:$AL,18,FALSE)+VLOOKUP($A42,'Wikia | Gehege'!$A:$AL,26,FALSE)*($G42)-1*$G42),0)</f>
        <v>0</v>
      </c>
      <c r="L42" s="36">
        <f>IFERROR(IF(VLOOKUP($A42,'Wikia | Gehege'!$A:$AL,26,FALSE)=1,VLOOKUP($A42,'Wikia | Gehege'!$A:$AL,19,FALSE),VLOOKUP($A42,'Wikia | Gehege'!$A:$AL,19,FALSE)+VLOOKUP($A42,'Wikia | Gehege'!$A:$AL,26,FALSE)*($H42)-1*$H42),0)</f>
        <v>2008</v>
      </c>
      <c r="M42" s="37">
        <f>IFERROR(IF(VLOOKUP($A42,'Wikia | Gehege'!$A:$AL,26,FALSE)=1,VLOOKUP($A42,'Wikia | Gehege'!$A:$AL,20,FALSE),VLOOKUP($A42,'Wikia | Gehege'!$A:$AL,20,FALSE)+VLOOKUP($A42,'Wikia | Gehege'!$A:$AL,26,FALSE)*($I42)-1*$I42),0)</f>
        <v>0</v>
      </c>
      <c r="N42" s="35">
        <f>IFERROR(IF(VLOOKUP($A42,'Wikia | Gehege'!$A:$AL,27,FALSE)=1,VLOOKUP($A42,'Wikia | Gehege'!$A:$AL,17,FALSE),VLOOKUP($A42,'Wikia | Gehege'!$A:$AL,17,FALSE)+VLOOKUP($A42,'Wikia | Gehege'!$A:$AL,27,FALSE)*($F42)-1*$F42),0)</f>
        <v>15562</v>
      </c>
      <c r="O42" s="36">
        <f>IFERROR(IF(VLOOKUP($A42,'Wikia | Gehege'!$A:$AL,27,FALSE)=1,VLOOKUP($A42,'Wikia | Gehege'!$A:$AL,18,FALSE),VLOOKUP($A42,'Wikia | Gehege'!$A:$AL,18,FALSE)+VLOOKUP($A42,'Wikia | Gehege'!$A:$AL,27,FALSE)*($G42)-1*$G42),0)</f>
        <v>0</v>
      </c>
      <c r="P42" s="36">
        <f>IFERROR(IF(VLOOKUP($A42,'Wikia | Gehege'!$A:$AL,27,FALSE)=1,VLOOKUP($A42,'Wikia | Gehege'!$A:$AL,19,FALSE),VLOOKUP($A42,'Wikia | Gehege'!$A:$AL,19,FALSE)+VLOOKUP($A42,'Wikia | Gehege'!$A:$AL,27,FALSE)*($H42)-1*$H42),0)</f>
        <v>15562</v>
      </c>
      <c r="Q42" s="37">
        <f>IFERROR(IF(VLOOKUP($A42,'Wikia | Gehege'!$A:$AL,27,FALSE)=1,VLOOKUP($A42,'Wikia | Gehege'!$A:$AL,20,FALSE),VLOOKUP($A42,'Wikia | Gehege'!$A:$AL,20,FALSE)+VLOOKUP($A42,'Wikia | Gehege'!$A:$AL,27,FALSE)*($I42)-1*$I42),0)</f>
        <v>0</v>
      </c>
      <c r="R42" s="87"/>
      <c r="S42" s="94"/>
      <c r="T42" s="38">
        <f>IFERROR(VLOOKUP($A42,'Wikia | Gehege'!$A:$AL,17,FALSE)+(($S42-1)*$F42),0)</f>
        <v>502</v>
      </c>
      <c r="U42" s="38">
        <f>IFERROR(VLOOKUP($A42,'Wikia | Gehege'!$A:$AL,18,FALSE)+(($S42-1)*$G42),0)</f>
        <v>0</v>
      </c>
      <c r="V42" s="38">
        <f>IFERROR(VLOOKUP($A42,'Wikia | Gehege'!$A:$AL,19,FALSE)+(($S42-1)*$H42),0)</f>
        <v>502</v>
      </c>
      <c r="W42" s="85">
        <f>IFERROR(VLOOKUP($A42,'Wikia | Gehege'!$A:$AL,20,FALSE)+(($S42-1)*$I42),0)</f>
        <v>0</v>
      </c>
      <c r="X42" s="87"/>
    </row>
    <row r="43" spans="1:24" ht="35.1" customHeight="1" x14ac:dyDescent="0.2">
      <c r="A43" s="140" t="str">
        <f>'Wikia | Gehege'!A43</f>
        <v>Fossa</v>
      </c>
      <c r="B43" s="35">
        <v>360</v>
      </c>
      <c r="C43" s="36">
        <v>56</v>
      </c>
      <c r="D43" s="36">
        <v>0</v>
      </c>
      <c r="E43" s="37">
        <v>0</v>
      </c>
      <c r="F43" s="35">
        <f>IFERROR(B43-VLOOKUP($A43,'Wikia | Gehege'!$A:$AL,17,FALSE),0)</f>
        <v>90</v>
      </c>
      <c r="G43" s="36">
        <f>IFERROR(C43-VLOOKUP($A43,'Wikia | Gehege'!$A:$AL,18,FALSE),0)</f>
        <v>16</v>
      </c>
      <c r="H43" s="36">
        <f>IFERROR(D43-VLOOKUP($A43,'Wikia | Gehege'!$A:$AL,19,FALSE),0)</f>
        <v>0</v>
      </c>
      <c r="I43" s="37">
        <f>IFERROR(E43-VLOOKUP($A43,'Wikia | Gehege'!$A:$AL,20,FALSE),0)</f>
        <v>0</v>
      </c>
      <c r="J43" s="35">
        <f>IFERROR(IF(VLOOKUP($A43,'Wikia | Gehege'!$A:$AL,26,FALSE)=1,VLOOKUP($A43,'Wikia | Gehege'!$A:$AL,17,FALSE),VLOOKUP($A43,'Wikia | Gehege'!$A:$AL,17,FALSE)+VLOOKUP($A43,'Wikia | Gehege'!$A:$AL,26,FALSE)*($F43)-1*$F43),0)</f>
        <v>270</v>
      </c>
      <c r="K43" s="36">
        <f>IFERROR(IF(VLOOKUP($A43,'Wikia | Gehege'!$A:$AL,26,FALSE)=1,VLOOKUP($A43,'Wikia | Gehege'!$A:$AL,18,FALSE),VLOOKUP($A43,'Wikia | Gehege'!$A:$AL,18,FALSE)+VLOOKUP($A43,'Wikia | Gehege'!$A:$AL,26,FALSE)*($G43)-1*$G43),0)</f>
        <v>40</v>
      </c>
      <c r="L43" s="36">
        <f>IFERROR(IF(VLOOKUP($A43,'Wikia | Gehege'!$A:$AL,26,FALSE)=1,VLOOKUP($A43,'Wikia | Gehege'!$A:$AL,19,FALSE),VLOOKUP($A43,'Wikia | Gehege'!$A:$AL,19,FALSE)+VLOOKUP($A43,'Wikia | Gehege'!$A:$AL,26,FALSE)*($H43)-1*$H43),0)</f>
        <v>0</v>
      </c>
      <c r="M43" s="37">
        <f>IFERROR(IF(VLOOKUP($A43,'Wikia | Gehege'!$A:$AL,26,FALSE)=1,VLOOKUP($A43,'Wikia | Gehege'!$A:$AL,20,FALSE),VLOOKUP($A43,'Wikia | Gehege'!$A:$AL,20,FALSE)+VLOOKUP($A43,'Wikia | Gehege'!$A:$AL,26,FALSE)*($I43)-1*$I43),0)</f>
        <v>0</v>
      </c>
      <c r="N43" s="35">
        <f>IFERROR(IF(VLOOKUP($A43,'Wikia | Gehege'!$A:$AL,27,FALSE)=1,VLOOKUP($A43,'Wikia | Gehege'!$A:$AL,17,FALSE),VLOOKUP($A43,'Wikia | Gehege'!$A:$AL,17,FALSE)+VLOOKUP($A43,'Wikia | Gehege'!$A:$AL,27,FALSE)*($F43)-1*$F43),0)</f>
        <v>360</v>
      </c>
      <c r="O43" s="36">
        <f>IFERROR(IF(VLOOKUP($A43,'Wikia | Gehege'!$A:$AL,27,FALSE)=1,VLOOKUP($A43,'Wikia | Gehege'!$A:$AL,18,FALSE),VLOOKUP($A43,'Wikia | Gehege'!$A:$AL,18,FALSE)+VLOOKUP($A43,'Wikia | Gehege'!$A:$AL,27,FALSE)*($G43)-1*$G43),0)</f>
        <v>56</v>
      </c>
      <c r="P43" s="36">
        <f>IFERROR(IF(VLOOKUP($A43,'Wikia | Gehege'!$A:$AL,27,FALSE)=1,VLOOKUP($A43,'Wikia | Gehege'!$A:$AL,19,FALSE),VLOOKUP($A43,'Wikia | Gehege'!$A:$AL,19,FALSE)+VLOOKUP($A43,'Wikia | Gehege'!$A:$AL,27,FALSE)*($H43)-1*$H43),0)</f>
        <v>0</v>
      </c>
      <c r="Q43" s="37">
        <f>IFERROR(IF(VLOOKUP($A43,'Wikia | Gehege'!$A:$AL,27,FALSE)=1,VLOOKUP($A43,'Wikia | Gehege'!$A:$AL,20,FALSE),VLOOKUP($A43,'Wikia | Gehege'!$A:$AL,20,FALSE)+VLOOKUP($A43,'Wikia | Gehege'!$A:$AL,27,FALSE)*($I43)-1*$I43),0)</f>
        <v>0</v>
      </c>
      <c r="R43" s="87"/>
      <c r="S43" s="94"/>
      <c r="T43" s="38">
        <f>IFERROR(VLOOKUP($A43,'Wikia | Gehege'!$A:$AL,17,FALSE)+(($S43-1)*$F43),0)</f>
        <v>180</v>
      </c>
      <c r="U43" s="38">
        <f>IFERROR(VLOOKUP($A43,'Wikia | Gehege'!$A:$AL,18,FALSE)+(($S43-1)*$G43),0)</f>
        <v>24</v>
      </c>
      <c r="V43" s="38">
        <f>IFERROR(VLOOKUP($A43,'Wikia | Gehege'!$A:$AL,19,FALSE)+(($S43-1)*$H43),0)</f>
        <v>0</v>
      </c>
      <c r="W43" s="85">
        <f>IFERROR(VLOOKUP($A43,'Wikia | Gehege'!$A:$AL,20,FALSE)+(($S43-1)*$I43),0)</f>
        <v>0</v>
      </c>
      <c r="X43" s="87"/>
    </row>
    <row r="44" spans="1:24" ht="35.1" customHeight="1" x14ac:dyDescent="0.2">
      <c r="A44" s="140" t="str">
        <f>'Wikia | Gehege'!A44</f>
        <v xml:space="preserve">Gabelbock </v>
      </c>
      <c r="B44" s="35">
        <v>430</v>
      </c>
      <c r="C44" s="36">
        <v>0</v>
      </c>
      <c r="D44" s="36">
        <v>0</v>
      </c>
      <c r="E44" s="37">
        <v>0</v>
      </c>
      <c r="F44" s="35">
        <f>IFERROR(B44-VLOOKUP($A44,'Wikia | Gehege'!$A:$AL,17,FALSE),0)</f>
        <v>60</v>
      </c>
      <c r="G44" s="36">
        <f>IFERROR(C44-VLOOKUP($A44,'Wikia | Gehege'!$A:$AL,18,FALSE),0)</f>
        <v>0</v>
      </c>
      <c r="H44" s="36">
        <f>IFERROR(D44-VLOOKUP($A44,'Wikia | Gehege'!$A:$AL,19,FALSE),0)</f>
        <v>0</v>
      </c>
      <c r="I44" s="37">
        <f>IFERROR(E44-VLOOKUP($A44,'Wikia | Gehege'!$A:$AL,20,FALSE),0)</f>
        <v>0</v>
      </c>
      <c r="J44" s="35">
        <f>IFERROR(IF(VLOOKUP($A44,'Wikia | Gehege'!$A:$AL,26,FALSE)=1,VLOOKUP($A44,'Wikia | Gehege'!$A:$AL,17,FALSE),VLOOKUP($A44,'Wikia | Gehege'!$A:$AL,17,FALSE)+VLOOKUP($A44,'Wikia | Gehege'!$A:$AL,26,FALSE)*($F44)-1*$F44),0)</f>
        <v>370</v>
      </c>
      <c r="K44" s="36">
        <f>IFERROR(IF(VLOOKUP($A44,'Wikia | Gehege'!$A:$AL,26,FALSE)=1,VLOOKUP($A44,'Wikia | Gehege'!$A:$AL,18,FALSE),VLOOKUP($A44,'Wikia | Gehege'!$A:$AL,18,FALSE)+VLOOKUP($A44,'Wikia | Gehege'!$A:$AL,26,FALSE)*($G44)-1*$G44),0)</f>
        <v>0</v>
      </c>
      <c r="L44" s="36">
        <f>IFERROR(IF(VLOOKUP($A44,'Wikia | Gehege'!$A:$AL,26,FALSE)=1,VLOOKUP($A44,'Wikia | Gehege'!$A:$AL,19,FALSE),VLOOKUP($A44,'Wikia | Gehege'!$A:$AL,19,FALSE)+VLOOKUP($A44,'Wikia | Gehege'!$A:$AL,26,FALSE)*($H44)-1*$H44),0)</f>
        <v>0</v>
      </c>
      <c r="M44" s="37">
        <f>IFERROR(IF(VLOOKUP($A44,'Wikia | Gehege'!$A:$AL,26,FALSE)=1,VLOOKUP($A44,'Wikia | Gehege'!$A:$AL,20,FALSE),VLOOKUP($A44,'Wikia | Gehege'!$A:$AL,20,FALSE)+VLOOKUP($A44,'Wikia | Gehege'!$A:$AL,26,FALSE)*($I44)-1*$I44),0)</f>
        <v>0</v>
      </c>
      <c r="N44" s="35">
        <f>IFERROR(IF(VLOOKUP($A44,'Wikia | Gehege'!$A:$AL,27,FALSE)=1,VLOOKUP($A44,'Wikia | Gehege'!$A:$AL,17,FALSE),VLOOKUP($A44,'Wikia | Gehege'!$A:$AL,17,FALSE)+VLOOKUP($A44,'Wikia | Gehege'!$A:$AL,27,FALSE)*($F44)-1*$F44),0)</f>
        <v>970</v>
      </c>
      <c r="O44" s="36">
        <f>IFERROR(IF(VLOOKUP($A44,'Wikia | Gehege'!$A:$AL,27,FALSE)=1,VLOOKUP($A44,'Wikia | Gehege'!$A:$AL,18,FALSE),VLOOKUP($A44,'Wikia | Gehege'!$A:$AL,18,FALSE)+VLOOKUP($A44,'Wikia | Gehege'!$A:$AL,27,FALSE)*($G44)-1*$G44),0)</f>
        <v>0</v>
      </c>
      <c r="P44" s="36">
        <f>IFERROR(IF(VLOOKUP($A44,'Wikia | Gehege'!$A:$AL,27,FALSE)=1,VLOOKUP($A44,'Wikia | Gehege'!$A:$AL,19,FALSE),VLOOKUP($A44,'Wikia | Gehege'!$A:$AL,19,FALSE)+VLOOKUP($A44,'Wikia | Gehege'!$A:$AL,27,FALSE)*($H44)-1*$H44),0)</f>
        <v>0</v>
      </c>
      <c r="Q44" s="37">
        <f>IFERROR(IF(VLOOKUP($A44,'Wikia | Gehege'!$A:$AL,27,FALSE)=1,VLOOKUP($A44,'Wikia | Gehege'!$A:$AL,20,FALSE),VLOOKUP($A44,'Wikia | Gehege'!$A:$AL,20,FALSE)+VLOOKUP($A44,'Wikia | Gehege'!$A:$AL,27,FALSE)*($I44)-1*$I44),0)</f>
        <v>0</v>
      </c>
      <c r="R44" s="87"/>
      <c r="S44" s="94"/>
      <c r="T44" s="38">
        <f>IFERROR(VLOOKUP($A44,'Wikia | Gehege'!$A:$AL,17,FALSE)+(($S44-1)*$F44),0)</f>
        <v>310</v>
      </c>
      <c r="U44" s="38">
        <f>IFERROR(VLOOKUP($A44,'Wikia | Gehege'!$A:$AL,18,FALSE)+(($S44-1)*$G44),0)</f>
        <v>0</v>
      </c>
      <c r="V44" s="38">
        <f>IFERROR(VLOOKUP($A44,'Wikia | Gehege'!$A:$AL,19,FALSE)+(($S44-1)*$H44),0)</f>
        <v>0</v>
      </c>
      <c r="W44" s="85">
        <f>IFERROR(VLOOKUP($A44,'Wikia | Gehege'!$A:$AL,20,FALSE)+(($S44-1)*$I44),0)</f>
        <v>0</v>
      </c>
      <c r="X44" s="87"/>
    </row>
    <row r="45" spans="1:24" ht="35.1" customHeight="1" x14ac:dyDescent="0.2">
      <c r="A45" s="140" t="str">
        <f>'Wikia | Gehege'!A45</f>
        <v xml:space="preserve">Galapagos-Riesenschildkröte </v>
      </c>
      <c r="B45" s="35">
        <v>235</v>
      </c>
      <c r="C45" s="36">
        <v>0</v>
      </c>
      <c r="D45" s="36">
        <v>0</v>
      </c>
      <c r="E45" s="37">
        <v>0</v>
      </c>
      <c r="F45" s="35">
        <f>IFERROR(B45-VLOOKUP($A45,'Wikia | Gehege'!$A:$AL,17,FALSE),0)</f>
        <v>5</v>
      </c>
      <c r="G45" s="36">
        <f>IFERROR(C45-VLOOKUP($A45,'Wikia | Gehege'!$A:$AL,18,FALSE),0)</f>
        <v>0</v>
      </c>
      <c r="H45" s="36">
        <f>IFERROR(D45-VLOOKUP($A45,'Wikia | Gehege'!$A:$AL,19,FALSE),0)</f>
        <v>0</v>
      </c>
      <c r="I45" s="37">
        <f>IFERROR(E45-VLOOKUP($A45,'Wikia | Gehege'!$A:$AL,20,FALSE),0)</f>
        <v>0</v>
      </c>
      <c r="J45" s="35">
        <f>IFERROR(IF(VLOOKUP($A45,'Wikia | Gehege'!$A:$AL,26,FALSE)=1,VLOOKUP($A45,'Wikia | Gehege'!$A:$AL,17,FALSE),VLOOKUP($A45,'Wikia | Gehege'!$A:$AL,17,FALSE)+VLOOKUP($A45,'Wikia | Gehege'!$A:$AL,26,FALSE)*($F45)-1*$F45),0)</f>
        <v>230</v>
      </c>
      <c r="K45" s="36">
        <f>IFERROR(IF(VLOOKUP($A45,'Wikia | Gehege'!$A:$AL,26,FALSE)=1,VLOOKUP($A45,'Wikia | Gehege'!$A:$AL,18,FALSE),VLOOKUP($A45,'Wikia | Gehege'!$A:$AL,18,FALSE)+VLOOKUP($A45,'Wikia | Gehege'!$A:$AL,26,FALSE)*($G45)-1*$G45),0)</f>
        <v>0</v>
      </c>
      <c r="L45" s="36">
        <f>IFERROR(IF(VLOOKUP($A45,'Wikia | Gehege'!$A:$AL,26,FALSE)=1,VLOOKUP($A45,'Wikia | Gehege'!$A:$AL,19,FALSE),VLOOKUP($A45,'Wikia | Gehege'!$A:$AL,19,FALSE)+VLOOKUP($A45,'Wikia | Gehege'!$A:$AL,26,FALSE)*($H45)-1*$H45),0)</f>
        <v>0</v>
      </c>
      <c r="M45" s="37">
        <f>IFERROR(IF(VLOOKUP($A45,'Wikia | Gehege'!$A:$AL,26,FALSE)=1,VLOOKUP($A45,'Wikia | Gehege'!$A:$AL,20,FALSE),VLOOKUP($A45,'Wikia | Gehege'!$A:$AL,20,FALSE)+VLOOKUP($A45,'Wikia | Gehege'!$A:$AL,26,FALSE)*($I45)-1*$I45),0)</f>
        <v>0</v>
      </c>
      <c r="N45" s="35">
        <f>IFERROR(IF(VLOOKUP($A45,'Wikia | Gehege'!$A:$AL,27,FALSE)=1,VLOOKUP($A45,'Wikia | Gehege'!$A:$AL,17,FALSE),VLOOKUP($A45,'Wikia | Gehege'!$A:$AL,17,FALSE)+VLOOKUP($A45,'Wikia | Gehege'!$A:$AL,27,FALSE)*($F45)-1*$F45),0)</f>
        <v>245</v>
      </c>
      <c r="O45" s="36">
        <f>IFERROR(IF(VLOOKUP($A45,'Wikia | Gehege'!$A:$AL,27,FALSE)=1,VLOOKUP($A45,'Wikia | Gehege'!$A:$AL,18,FALSE),VLOOKUP($A45,'Wikia | Gehege'!$A:$AL,18,FALSE)+VLOOKUP($A45,'Wikia | Gehege'!$A:$AL,27,FALSE)*($G45)-1*$G45),0)</f>
        <v>0</v>
      </c>
      <c r="P45" s="36">
        <f>IFERROR(IF(VLOOKUP($A45,'Wikia | Gehege'!$A:$AL,27,FALSE)=1,VLOOKUP($A45,'Wikia | Gehege'!$A:$AL,19,FALSE),VLOOKUP($A45,'Wikia | Gehege'!$A:$AL,19,FALSE)+VLOOKUP($A45,'Wikia | Gehege'!$A:$AL,27,FALSE)*($H45)-1*$H45),0)</f>
        <v>0</v>
      </c>
      <c r="Q45" s="37">
        <f>IFERROR(IF(VLOOKUP($A45,'Wikia | Gehege'!$A:$AL,27,FALSE)=1,VLOOKUP($A45,'Wikia | Gehege'!$A:$AL,20,FALSE),VLOOKUP($A45,'Wikia | Gehege'!$A:$AL,20,FALSE)+VLOOKUP($A45,'Wikia | Gehege'!$A:$AL,27,FALSE)*($I45)-1*$I45),0)</f>
        <v>0</v>
      </c>
      <c r="R45" s="87"/>
      <c r="S45" s="94"/>
      <c r="T45" s="38">
        <f>IFERROR(VLOOKUP($A45,'Wikia | Gehege'!$A:$AL,17,FALSE)+(($S45-1)*$F45),0)</f>
        <v>225</v>
      </c>
      <c r="U45" s="38">
        <f>IFERROR(VLOOKUP($A45,'Wikia | Gehege'!$A:$AL,18,FALSE)+(($S45-1)*$G45),0)</f>
        <v>0</v>
      </c>
      <c r="V45" s="38">
        <f>IFERROR(VLOOKUP($A45,'Wikia | Gehege'!$A:$AL,19,FALSE)+(($S45-1)*$H45),0)</f>
        <v>0</v>
      </c>
      <c r="W45" s="85">
        <f>IFERROR(VLOOKUP($A45,'Wikia | Gehege'!$A:$AL,20,FALSE)+(($S45-1)*$I45),0)</f>
        <v>0</v>
      </c>
      <c r="X45" s="87"/>
    </row>
    <row r="46" spans="1:24" ht="35.1" customHeight="1" x14ac:dyDescent="0.2">
      <c r="A46" s="140" t="str">
        <f>'Wikia | Gehege'!A46</f>
        <v xml:space="preserve">Gangesgavial </v>
      </c>
      <c r="B46" s="35">
        <v>226</v>
      </c>
      <c r="C46" s="36">
        <v>0</v>
      </c>
      <c r="D46" s="36">
        <v>330</v>
      </c>
      <c r="E46" s="37">
        <v>0</v>
      </c>
      <c r="F46" s="35">
        <f>IFERROR(B46-VLOOKUP($A46,'Wikia | Gehege'!$A:$AL,17,FALSE),0)</f>
        <v>16</v>
      </c>
      <c r="G46" s="36">
        <f>IFERROR(C46-VLOOKUP($A46,'Wikia | Gehege'!$A:$AL,18,FALSE),0)</f>
        <v>0</v>
      </c>
      <c r="H46" s="36">
        <f>IFERROR(D46-VLOOKUP($A46,'Wikia | Gehege'!$A:$AL,19,FALSE),0)</f>
        <v>30</v>
      </c>
      <c r="I46" s="37">
        <f>IFERROR(E46-VLOOKUP($A46,'Wikia | Gehege'!$A:$AL,20,FALSE),0)</f>
        <v>0</v>
      </c>
      <c r="J46" s="35">
        <f>IFERROR(IF(VLOOKUP($A46,'Wikia | Gehege'!$A:$AL,26,FALSE)=1,VLOOKUP($A46,'Wikia | Gehege'!$A:$AL,17,FALSE),VLOOKUP($A46,'Wikia | Gehege'!$A:$AL,17,FALSE)+VLOOKUP($A46,'Wikia | Gehege'!$A:$AL,26,FALSE)*($F46)-1*$F46),0)</f>
        <v>210</v>
      </c>
      <c r="K46" s="36">
        <f>IFERROR(IF(VLOOKUP($A46,'Wikia | Gehege'!$A:$AL,26,FALSE)=1,VLOOKUP($A46,'Wikia | Gehege'!$A:$AL,18,FALSE),VLOOKUP($A46,'Wikia | Gehege'!$A:$AL,18,FALSE)+VLOOKUP($A46,'Wikia | Gehege'!$A:$AL,26,FALSE)*($G46)-1*$G46),0)</f>
        <v>0</v>
      </c>
      <c r="L46" s="36">
        <f>IFERROR(IF(VLOOKUP($A46,'Wikia | Gehege'!$A:$AL,26,FALSE)=1,VLOOKUP($A46,'Wikia | Gehege'!$A:$AL,19,FALSE),VLOOKUP($A46,'Wikia | Gehege'!$A:$AL,19,FALSE)+VLOOKUP($A46,'Wikia | Gehege'!$A:$AL,26,FALSE)*($H46)-1*$H46),0)</f>
        <v>300</v>
      </c>
      <c r="M46" s="37">
        <f>IFERROR(IF(VLOOKUP($A46,'Wikia | Gehege'!$A:$AL,26,FALSE)=1,VLOOKUP($A46,'Wikia | Gehege'!$A:$AL,20,FALSE),VLOOKUP($A46,'Wikia | Gehege'!$A:$AL,20,FALSE)+VLOOKUP($A46,'Wikia | Gehege'!$A:$AL,26,FALSE)*($I46)-1*$I46),0)</f>
        <v>0</v>
      </c>
      <c r="N46" s="35">
        <f>IFERROR(IF(VLOOKUP($A46,'Wikia | Gehege'!$A:$AL,27,FALSE)=1,VLOOKUP($A46,'Wikia | Gehege'!$A:$AL,17,FALSE),VLOOKUP($A46,'Wikia | Gehege'!$A:$AL,17,FALSE)+VLOOKUP($A46,'Wikia | Gehege'!$A:$AL,27,FALSE)*($F46)-1*$F46),0)</f>
        <v>306</v>
      </c>
      <c r="O46" s="36">
        <f>IFERROR(IF(VLOOKUP($A46,'Wikia | Gehege'!$A:$AL,27,FALSE)=1,VLOOKUP($A46,'Wikia | Gehege'!$A:$AL,18,FALSE),VLOOKUP($A46,'Wikia | Gehege'!$A:$AL,18,FALSE)+VLOOKUP($A46,'Wikia | Gehege'!$A:$AL,27,FALSE)*($G46)-1*$G46),0)</f>
        <v>0</v>
      </c>
      <c r="P46" s="36">
        <f>IFERROR(IF(VLOOKUP($A46,'Wikia | Gehege'!$A:$AL,27,FALSE)=1,VLOOKUP($A46,'Wikia | Gehege'!$A:$AL,19,FALSE),VLOOKUP($A46,'Wikia | Gehege'!$A:$AL,19,FALSE)+VLOOKUP($A46,'Wikia | Gehege'!$A:$AL,27,FALSE)*($H46)-1*$H46),0)</f>
        <v>480</v>
      </c>
      <c r="Q46" s="37">
        <f>IFERROR(IF(VLOOKUP($A46,'Wikia | Gehege'!$A:$AL,27,FALSE)=1,VLOOKUP($A46,'Wikia | Gehege'!$A:$AL,20,FALSE),VLOOKUP($A46,'Wikia | Gehege'!$A:$AL,20,FALSE)+VLOOKUP($A46,'Wikia | Gehege'!$A:$AL,27,FALSE)*($I46)-1*$I46),0)</f>
        <v>0</v>
      </c>
      <c r="R46" s="87"/>
      <c r="S46" s="94"/>
      <c r="T46" s="38">
        <f>IFERROR(VLOOKUP($A46,'Wikia | Gehege'!$A:$AL,17,FALSE)+(($S46-1)*$F46),0)</f>
        <v>194</v>
      </c>
      <c r="U46" s="38">
        <f>IFERROR(VLOOKUP($A46,'Wikia | Gehege'!$A:$AL,18,FALSE)+(($S46-1)*$G46),0)</f>
        <v>0</v>
      </c>
      <c r="V46" s="38">
        <f>IFERROR(VLOOKUP($A46,'Wikia | Gehege'!$A:$AL,19,FALSE)+(($S46-1)*$H46),0)</f>
        <v>270</v>
      </c>
      <c r="W46" s="85">
        <f>IFERROR(VLOOKUP($A46,'Wikia | Gehege'!$A:$AL,20,FALSE)+(($S46-1)*$I46),0)</f>
        <v>0</v>
      </c>
      <c r="X46" s="87"/>
    </row>
    <row r="47" spans="1:24" ht="35.1" customHeight="1" x14ac:dyDescent="0.2">
      <c r="A47" s="140" t="str">
        <f>'Wikia | Gehege'!A47</f>
        <v xml:space="preserve">Gepard </v>
      </c>
      <c r="B47" s="35">
        <v>816</v>
      </c>
      <c r="C47" s="36">
        <v>0</v>
      </c>
      <c r="D47" s="36">
        <v>0</v>
      </c>
      <c r="E47" s="37">
        <v>0</v>
      </c>
      <c r="F47" s="35">
        <f>IFERROR(B47-VLOOKUP($A47,'Wikia | Gehege'!$A:$AL,17,FALSE),0)</f>
        <v>111</v>
      </c>
      <c r="G47" s="36">
        <f>IFERROR(C47-VLOOKUP($A47,'Wikia | Gehege'!$A:$AL,18,FALSE),0)</f>
        <v>0</v>
      </c>
      <c r="H47" s="36">
        <f>IFERROR(D47-VLOOKUP($A47,'Wikia | Gehege'!$A:$AL,19,FALSE),0)</f>
        <v>0</v>
      </c>
      <c r="I47" s="37">
        <f>IFERROR(E47-VLOOKUP($A47,'Wikia | Gehege'!$A:$AL,20,FALSE),0)</f>
        <v>0</v>
      </c>
      <c r="J47" s="35">
        <f>IFERROR(IF(VLOOKUP($A47,'Wikia | Gehege'!$A:$AL,26,FALSE)=1,VLOOKUP($A47,'Wikia | Gehege'!$A:$AL,17,FALSE),VLOOKUP($A47,'Wikia | Gehege'!$A:$AL,17,FALSE)+VLOOKUP($A47,'Wikia | Gehege'!$A:$AL,26,FALSE)*($F47)-1*$F47),0)</f>
        <v>705</v>
      </c>
      <c r="K47" s="36">
        <f>IFERROR(IF(VLOOKUP($A47,'Wikia | Gehege'!$A:$AL,26,FALSE)=1,VLOOKUP($A47,'Wikia | Gehege'!$A:$AL,18,FALSE),VLOOKUP($A47,'Wikia | Gehege'!$A:$AL,18,FALSE)+VLOOKUP($A47,'Wikia | Gehege'!$A:$AL,26,FALSE)*($G47)-1*$G47),0)</f>
        <v>0</v>
      </c>
      <c r="L47" s="36">
        <f>IFERROR(IF(VLOOKUP($A47,'Wikia | Gehege'!$A:$AL,26,FALSE)=1,VLOOKUP($A47,'Wikia | Gehege'!$A:$AL,19,FALSE),VLOOKUP($A47,'Wikia | Gehege'!$A:$AL,19,FALSE)+VLOOKUP($A47,'Wikia | Gehege'!$A:$AL,26,FALSE)*($H47)-1*$H47),0)</f>
        <v>0</v>
      </c>
      <c r="M47" s="37">
        <f>IFERROR(IF(VLOOKUP($A47,'Wikia | Gehege'!$A:$AL,26,FALSE)=1,VLOOKUP($A47,'Wikia | Gehege'!$A:$AL,20,FALSE),VLOOKUP($A47,'Wikia | Gehege'!$A:$AL,20,FALSE)+VLOOKUP($A47,'Wikia | Gehege'!$A:$AL,26,FALSE)*($I47)-1*$I47),0)</f>
        <v>0</v>
      </c>
      <c r="N47" s="35">
        <f>IFERROR(IF(VLOOKUP($A47,'Wikia | Gehege'!$A:$AL,27,FALSE)=1,VLOOKUP($A47,'Wikia | Gehege'!$A:$AL,17,FALSE),VLOOKUP($A47,'Wikia | Gehege'!$A:$AL,17,FALSE)+VLOOKUP($A47,'Wikia | Gehege'!$A:$AL,27,FALSE)*($F47)-1*$F47),0)</f>
        <v>927</v>
      </c>
      <c r="O47" s="36">
        <f>IFERROR(IF(VLOOKUP($A47,'Wikia | Gehege'!$A:$AL,27,FALSE)=1,VLOOKUP($A47,'Wikia | Gehege'!$A:$AL,18,FALSE),VLOOKUP($A47,'Wikia | Gehege'!$A:$AL,18,FALSE)+VLOOKUP($A47,'Wikia | Gehege'!$A:$AL,27,FALSE)*($G47)-1*$G47),0)</f>
        <v>0</v>
      </c>
      <c r="P47" s="36">
        <f>IFERROR(IF(VLOOKUP($A47,'Wikia | Gehege'!$A:$AL,27,FALSE)=1,VLOOKUP($A47,'Wikia | Gehege'!$A:$AL,19,FALSE),VLOOKUP($A47,'Wikia | Gehege'!$A:$AL,19,FALSE)+VLOOKUP($A47,'Wikia | Gehege'!$A:$AL,27,FALSE)*($H47)-1*$H47),0)</f>
        <v>0</v>
      </c>
      <c r="Q47" s="37">
        <f>IFERROR(IF(VLOOKUP($A47,'Wikia | Gehege'!$A:$AL,27,FALSE)=1,VLOOKUP($A47,'Wikia | Gehege'!$A:$AL,20,FALSE),VLOOKUP($A47,'Wikia | Gehege'!$A:$AL,20,FALSE)+VLOOKUP($A47,'Wikia | Gehege'!$A:$AL,27,FALSE)*($I47)-1*$I47),0)</f>
        <v>0</v>
      </c>
      <c r="R47" s="87"/>
      <c r="S47" s="94"/>
      <c r="T47" s="38">
        <f>IFERROR(VLOOKUP($A47,'Wikia | Gehege'!$A:$AL,17,FALSE)+(($S47-1)*$F47),0)</f>
        <v>594</v>
      </c>
      <c r="U47" s="38">
        <f>IFERROR(VLOOKUP($A47,'Wikia | Gehege'!$A:$AL,18,FALSE)+(($S47-1)*$G47),0)</f>
        <v>0</v>
      </c>
      <c r="V47" s="38">
        <f>IFERROR(VLOOKUP($A47,'Wikia | Gehege'!$A:$AL,19,FALSE)+(($S47-1)*$H47),0)</f>
        <v>0</v>
      </c>
      <c r="W47" s="85">
        <f>IFERROR(VLOOKUP($A47,'Wikia | Gehege'!$A:$AL,20,FALSE)+(($S47-1)*$I47),0)</f>
        <v>0</v>
      </c>
      <c r="X47" s="87"/>
    </row>
    <row r="48" spans="1:24" ht="35.1" customHeight="1" x14ac:dyDescent="0.2">
      <c r="A48" s="140" t="str">
        <f>'Wikia | Gehege'!A48</f>
        <v xml:space="preserve">Grizzlybär </v>
      </c>
      <c r="B48" s="35">
        <v>800</v>
      </c>
      <c r="C48" s="36">
        <v>0</v>
      </c>
      <c r="D48" s="36">
        <v>0</v>
      </c>
      <c r="E48" s="37">
        <v>0</v>
      </c>
      <c r="F48" s="35">
        <f>IFERROR(B48-VLOOKUP($A48,'Wikia | Gehege'!$A:$AL,17,FALSE),0)</f>
        <v>50</v>
      </c>
      <c r="G48" s="36">
        <f>IFERROR(C48-VLOOKUP($A48,'Wikia | Gehege'!$A:$AL,18,FALSE),0)</f>
        <v>0</v>
      </c>
      <c r="H48" s="36">
        <f>IFERROR(D48-VLOOKUP($A48,'Wikia | Gehege'!$A:$AL,19,FALSE),0)</f>
        <v>0</v>
      </c>
      <c r="I48" s="37">
        <f>IFERROR(E48-VLOOKUP($A48,'Wikia | Gehege'!$A:$AL,20,FALSE),0)</f>
        <v>0</v>
      </c>
      <c r="J48" s="35">
        <f>IFERROR(IF(VLOOKUP($A48,'Wikia | Gehege'!$A:$AL,26,FALSE)=1,VLOOKUP($A48,'Wikia | Gehege'!$A:$AL,17,FALSE),VLOOKUP($A48,'Wikia | Gehege'!$A:$AL,17,FALSE)+VLOOKUP($A48,'Wikia | Gehege'!$A:$AL,26,FALSE)*($F48)-1*$F48),0)</f>
        <v>750</v>
      </c>
      <c r="K48" s="36">
        <f>IFERROR(IF(VLOOKUP($A48,'Wikia | Gehege'!$A:$AL,26,FALSE)=1,VLOOKUP($A48,'Wikia | Gehege'!$A:$AL,18,FALSE),VLOOKUP($A48,'Wikia | Gehege'!$A:$AL,18,FALSE)+VLOOKUP($A48,'Wikia | Gehege'!$A:$AL,26,FALSE)*($G48)-1*$G48),0)</f>
        <v>0</v>
      </c>
      <c r="L48" s="36">
        <f>IFERROR(IF(VLOOKUP($A48,'Wikia | Gehege'!$A:$AL,26,FALSE)=1,VLOOKUP($A48,'Wikia | Gehege'!$A:$AL,19,FALSE),VLOOKUP($A48,'Wikia | Gehege'!$A:$AL,19,FALSE)+VLOOKUP($A48,'Wikia | Gehege'!$A:$AL,26,FALSE)*($H48)-1*$H48),0)</f>
        <v>0</v>
      </c>
      <c r="M48" s="37">
        <f>IFERROR(IF(VLOOKUP($A48,'Wikia | Gehege'!$A:$AL,26,FALSE)=1,VLOOKUP($A48,'Wikia | Gehege'!$A:$AL,20,FALSE),VLOOKUP($A48,'Wikia | Gehege'!$A:$AL,20,FALSE)+VLOOKUP($A48,'Wikia | Gehege'!$A:$AL,26,FALSE)*($I48)-1*$I48),0)</f>
        <v>0</v>
      </c>
      <c r="N48" s="35">
        <f>IFERROR(IF(VLOOKUP($A48,'Wikia | Gehege'!$A:$AL,27,FALSE)=1,VLOOKUP($A48,'Wikia | Gehege'!$A:$AL,17,FALSE),VLOOKUP($A48,'Wikia | Gehege'!$A:$AL,17,FALSE)+VLOOKUP($A48,'Wikia | Gehege'!$A:$AL,27,FALSE)*($F48)-1*$F48),0)</f>
        <v>800</v>
      </c>
      <c r="O48" s="36">
        <f>IFERROR(IF(VLOOKUP($A48,'Wikia | Gehege'!$A:$AL,27,FALSE)=1,VLOOKUP($A48,'Wikia | Gehege'!$A:$AL,18,FALSE),VLOOKUP($A48,'Wikia | Gehege'!$A:$AL,18,FALSE)+VLOOKUP($A48,'Wikia | Gehege'!$A:$AL,27,FALSE)*($G48)-1*$G48),0)</f>
        <v>0</v>
      </c>
      <c r="P48" s="36">
        <f>IFERROR(IF(VLOOKUP($A48,'Wikia | Gehege'!$A:$AL,27,FALSE)=1,VLOOKUP($A48,'Wikia | Gehege'!$A:$AL,19,FALSE),VLOOKUP($A48,'Wikia | Gehege'!$A:$AL,19,FALSE)+VLOOKUP($A48,'Wikia | Gehege'!$A:$AL,27,FALSE)*($H48)-1*$H48),0)</f>
        <v>0</v>
      </c>
      <c r="Q48" s="37">
        <f>IFERROR(IF(VLOOKUP($A48,'Wikia | Gehege'!$A:$AL,27,FALSE)=1,VLOOKUP($A48,'Wikia | Gehege'!$A:$AL,20,FALSE),VLOOKUP($A48,'Wikia | Gehege'!$A:$AL,20,FALSE)+VLOOKUP($A48,'Wikia | Gehege'!$A:$AL,27,FALSE)*($I48)-1*$I48),0)</f>
        <v>0</v>
      </c>
      <c r="R48" s="87"/>
      <c r="S48" s="94"/>
      <c r="T48" s="38">
        <f>IFERROR(VLOOKUP($A48,'Wikia | Gehege'!$A:$AL,17,FALSE)+(($S48-1)*$F48),0)</f>
        <v>700</v>
      </c>
      <c r="U48" s="38">
        <f>IFERROR(VLOOKUP($A48,'Wikia | Gehege'!$A:$AL,18,FALSE)+(($S48-1)*$G48),0)</f>
        <v>0</v>
      </c>
      <c r="V48" s="38">
        <f>IFERROR(VLOOKUP($A48,'Wikia | Gehege'!$A:$AL,19,FALSE)+(($S48-1)*$H48),0)</f>
        <v>0</v>
      </c>
      <c r="W48" s="85">
        <f>IFERROR(VLOOKUP($A48,'Wikia | Gehege'!$A:$AL,20,FALSE)+(($S48-1)*$I48),0)</f>
        <v>0</v>
      </c>
      <c r="X48" s="87"/>
    </row>
    <row r="49" spans="1:24" ht="35.1" customHeight="1" x14ac:dyDescent="0.2">
      <c r="A49" s="140" t="str">
        <f>'Wikia | Gehege'!A49</f>
        <v>Großer Ameisenbär</v>
      </c>
      <c r="B49" s="35">
        <v>720</v>
      </c>
      <c r="C49" s="36">
        <v>0</v>
      </c>
      <c r="D49" s="36">
        <v>0</v>
      </c>
      <c r="E49" s="37">
        <v>0</v>
      </c>
      <c r="F49" s="35">
        <f>IFERROR(B49-VLOOKUP($A49,'Wikia | Gehege'!$A:$AL,17,FALSE),0)</f>
        <v>60</v>
      </c>
      <c r="G49" s="36">
        <f>IFERROR(C49-VLOOKUP($A49,'Wikia | Gehege'!$A:$AL,18,FALSE),0)</f>
        <v>0</v>
      </c>
      <c r="H49" s="36">
        <f>IFERROR(D49-VLOOKUP($A49,'Wikia | Gehege'!$A:$AL,19,FALSE),0)</f>
        <v>0</v>
      </c>
      <c r="I49" s="37">
        <f>IFERROR(E49-VLOOKUP($A49,'Wikia | Gehege'!$A:$AL,20,FALSE),0)</f>
        <v>0</v>
      </c>
      <c r="J49" s="35">
        <f>IFERROR(IF(VLOOKUP($A49,'Wikia | Gehege'!$A:$AL,26,FALSE)=1,VLOOKUP($A49,'Wikia | Gehege'!$A:$AL,17,FALSE),VLOOKUP($A49,'Wikia | Gehege'!$A:$AL,17,FALSE)+VLOOKUP($A49,'Wikia | Gehege'!$A:$AL,26,FALSE)*($F49)-1*$F49),0)</f>
        <v>660</v>
      </c>
      <c r="K49" s="36">
        <f>IFERROR(IF(VLOOKUP($A49,'Wikia | Gehege'!$A:$AL,26,FALSE)=1,VLOOKUP($A49,'Wikia | Gehege'!$A:$AL,18,FALSE),VLOOKUP($A49,'Wikia | Gehege'!$A:$AL,18,FALSE)+VLOOKUP($A49,'Wikia | Gehege'!$A:$AL,26,FALSE)*($G49)-1*$G49),0)</f>
        <v>0</v>
      </c>
      <c r="L49" s="36">
        <f>IFERROR(IF(VLOOKUP($A49,'Wikia | Gehege'!$A:$AL,26,FALSE)=1,VLOOKUP($A49,'Wikia | Gehege'!$A:$AL,19,FALSE),VLOOKUP($A49,'Wikia | Gehege'!$A:$AL,19,FALSE)+VLOOKUP($A49,'Wikia | Gehege'!$A:$AL,26,FALSE)*($H49)-1*$H49),0)</f>
        <v>0</v>
      </c>
      <c r="M49" s="37">
        <f>IFERROR(IF(VLOOKUP($A49,'Wikia | Gehege'!$A:$AL,26,FALSE)=1,VLOOKUP($A49,'Wikia | Gehege'!$A:$AL,20,FALSE),VLOOKUP($A49,'Wikia | Gehege'!$A:$AL,20,FALSE)+VLOOKUP($A49,'Wikia | Gehege'!$A:$AL,26,FALSE)*($I49)-1*$I49),0)</f>
        <v>0</v>
      </c>
      <c r="N49" s="35">
        <f>IFERROR(IF(VLOOKUP($A49,'Wikia | Gehege'!$A:$AL,27,FALSE)=1,VLOOKUP($A49,'Wikia | Gehege'!$A:$AL,17,FALSE),VLOOKUP($A49,'Wikia | Gehege'!$A:$AL,17,FALSE)+VLOOKUP($A49,'Wikia | Gehege'!$A:$AL,27,FALSE)*($F49)-1*$F49),0)</f>
        <v>720</v>
      </c>
      <c r="O49" s="36">
        <f>IFERROR(IF(VLOOKUP($A49,'Wikia | Gehege'!$A:$AL,27,FALSE)=1,VLOOKUP($A49,'Wikia | Gehege'!$A:$AL,18,FALSE),VLOOKUP($A49,'Wikia | Gehege'!$A:$AL,18,FALSE)+VLOOKUP($A49,'Wikia | Gehege'!$A:$AL,27,FALSE)*($G49)-1*$G49),0)</f>
        <v>0</v>
      </c>
      <c r="P49" s="36">
        <f>IFERROR(IF(VLOOKUP($A49,'Wikia | Gehege'!$A:$AL,27,FALSE)=1,VLOOKUP($A49,'Wikia | Gehege'!$A:$AL,19,FALSE),VLOOKUP($A49,'Wikia | Gehege'!$A:$AL,19,FALSE)+VLOOKUP($A49,'Wikia | Gehege'!$A:$AL,27,FALSE)*($H49)-1*$H49),0)</f>
        <v>0</v>
      </c>
      <c r="Q49" s="37">
        <f>IFERROR(IF(VLOOKUP($A49,'Wikia | Gehege'!$A:$AL,27,FALSE)=1,VLOOKUP($A49,'Wikia | Gehege'!$A:$AL,20,FALSE),VLOOKUP($A49,'Wikia | Gehege'!$A:$AL,20,FALSE)+VLOOKUP($A49,'Wikia | Gehege'!$A:$AL,27,FALSE)*($I49)-1*$I49),0)</f>
        <v>0</v>
      </c>
      <c r="R49" s="87"/>
      <c r="S49" s="94"/>
      <c r="T49" s="38">
        <f>IFERROR(VLOOKUP($A49,'Wikia | Gehege'!$A:$AL,17,FALSE)+(($S49-1)*$F49),0)</f>
        <v>600</v>
      </c>
      <c r="U49" s="38">
        <f>IFERROR(VLOOKUP($A49,'Wikia | Gehege'!$A:$AL,18,FALSE)+(($S49-1)*$G49),0)</f>
        <v>0</v>
      </c>
      <c r="V49" s="38">
        <f>IFERROR(VLOOKUP($A49,'Wikia | Gehege'!$A:$AL,19,FALSE)+(($S49-1)*$H49),0)</f>
        <v>0</v>
      </c>
      <c r="W49" s="85">
        <f>IFERROR(VLOOKUP($A49,'Wikia | Gehege'!$A:$AL,20,FALSE)+(($S49-1)*$I49),0)</f>
        <v>0</v>
      </c>
      <c r="X49" s="87"/>
    </row>
    <row r="50" spans="1:24" ht="35.1" customHeight="1" x14ac:dyDescent="0.2">
      <c r="A50" s="140" t="str">
        <f>'Wikia | Gehege'!A50</f>
        <v xml:space="preserve">Großer Panda </v>
      </c>
      <c r="B50" s="35">
        <v>1050</v>
      </c>
      <c r="C50" s="36">
        <v>0</v>
      </c>
      <c r="D50" s="36">
        <v>0</v>
      </c>
      <c r="E50" s="37">
        <v>0</v>
      </c>
      <c r="F50" s="35">
        <f>IFERROR(B50-VLOOKUP($A50,'Wikia | Gehege'!$A:$AL,17,FALSE),0)</f>
        <v>150</v>
      </c>
      <c r="G50" s="36">
        <f>IFERROR(C50-VLOOKUP($A50,'Wikia | Gehege'!$A:$AL,18,FALSE),0)</f>
        <v>0</v>
      </c>
      <c r="H50" s="36">
        <f>IFERROR(D50-VLOOKUP($A50,'Wikia | Gehege'!$A:$AL,19,FALSE),0)</f>
        <v>0</v>
      </c>
      <c r="I50" s="37">
        <f>IFERROR(E50-VLOOKUP($A50,'Wikia | Gehege'!$A:$AL,20,FALSE),0)</f>
        <v>0</v>
      </c>
      <c r="J50" s="35">
        <f>IFERROR(IF(VLOOKUP($A50,'Wikia | Gehege'!$A:$AL,26,FALSE)=1,VLOOKUP($A50,'Wikia | Gehege'!$A:$AL,17,FALSE),VLOOKUP($A50,'Wikia | Gehege'!$A:$AL,17,FALSE)+VLOOKUP($A50,'Wikia | Gehege'!$A:$AL,26,FALSE)*($F50)-1*$F50),0)</f>
        <v>900</v>
      </c>
      <c r="K50" s="36">
        <f>IFERROR(IF(VLOOKUP($A50,'Wikia | Gehege'!$A:$AL,26,FALSE)=1,VLOOKUP($A50,'Wikia | Gehege'!$A:$AL,18,FALSE),VLOOKUP($A50,'Wikia | Gehege'!$A:$AL,18,FALSE)+VLOOKUP($A50,'Wikia | Gehege'!$A:$AL,26,FALSE)*($G50)-1*$G50),0)</f>
        <v>0</v>
      </c>
      <c r="L50" s="36">
        <f>IFERROR(IF(VLOOKUP($A50,'Wikia | Gehege'!$A:$AL,26,FALSE)=1,VLOOKUP($A50,'Wikia | Gehege'!$A:$AL,19,FALSE),VLOOKUP($A50,'Wikia | Gehege'!$A:$AL,19,FALSE)+VLOOKUP($A50,'Wikia | Gehege'!$A:$AL,26,FALSE)*($H50)-1*$H50),0)</f>
        <v>0</v>
      </c>
      <c r="M50" s="37">
        <f>IFERROR(IF(VLOOKUP($A50,'Wikia | Gehege'!$A:$AL,26,FALSE)=1,VLOOKUP($A50,'Wikia | Gehege'!$A:$AL,20,FALSE),VLOOKUP($A50,'Wikia | Gehege'!$A:$AL,20,FALSE)+VLOOKUP($A50,'Wikia | Gehege'!$A:$AL,26,FALSE)*($I50)-1*$I50),0)</f>
        <v>0</v>
      </c>
      <c r="N50" s="35">
        <f>IFERROR(IF(VLOOKUP($A50,'Wikia | Gehege'!$A:$AL,27,FALSE)=1,VLOOKUP($A50,'Wikia | Gehege'!$A:$AL,17,FALSE),VLOOKUP($A50,'Wikia | Gehege'!$A:$AL,17,FALSE)+VLOOKUP($A50,'Wikia | Gehege'!$A:$AL,27,FALSE)*($F50)-1*$F50),0)</f>
        <v>2250</v>
      </c>
      <c r="O50" s="36">
        <f>IFERROR(IF(VLOOKUP($A50,'Wikia | Gehege'!$A:$AL,27,FALSE)=1,VLOOKUP($A50,'Wikia | Gehege'!$A:$AL,18,FALSE),VLOOKUP($A50,'Wikia | Gehege'!$A:$AL,18,FALSE)+VLOOKUP($A50,'Wikia | Gehege'!$A:$AL,27,FALSE)*($G50)-1*$G50),0)</f>
        <v>0</v>
      </c>
      <c r="P50" s="36">
        <f>IFERROR(IF(VLOOKUP($A50,'Wikia | Gehege'!$A:$AL,27,FALSE)=1,VLOOKUP($A50,'Wikia | Gehege'!$A:$AL,19,FALSE),VLOOKUP($A50,'Wikia | Gehege'!$A:$AL,19,FALSE)+VLOOKUP($A50,'Wikia | Gehege'!$A:$AL,27,FALSE)*($H50)-1*$H50),0)</f>
        <v>0</v>
      </c>
      <c r="Q50" s="37">
        <f>IFERROR(IF(VLOOKUP($A50,'Wikia | Gehege'!$A:$AL,27,FALSE)=1,VLOOKUP($A50,'Wikia | Gehege'!$A:$AL,20,FALSE),VLOOKUP($A50,'Wikia | Gehege'!$A:$AL,20,FALSE)+VLOOKUP($A50,'Wikia | Gehege'!$A:$AL,27,FALSE)*($I50)-1*$I50),0)</f>
        <v>0</v>
      </c>
      <c r="R50" s="87"/>
      <c r="S50" s="94"/>
      <c r="T50" s="38">
        <f>IFERROR(VLOOKUP($A50,'Wikia | Gehege'!$A:$AL,17,FALSE)+(($S50-1)*$F50),0)</f>
        <v>750</v>
      </c>
      <c r="U50" s="38">
        <f>IFERROR(VLOOKUP($A50,'Wikia | Gehege'!$A:$AL,18,FALSE)+(($S50-1)*$G50),0)</f>
        <v>0</v>
      </c>
      <c r="V50" s="38">
        <f>IFERROR(VLOOKUP($A50,'Wikia | Gehege'!$A:$AL,19,FALSE)+(($S50-1)*$H50),0)</f>
        <v>0</v>
      </c>
      <c r="W50" s="85">
        <f>IFERROR(VLOOKUP($A50,'Wikia | Gehege'!$A:$AL,20,FALSE)+(($S50-1)*$I50),0)</f>
        <v>0</v>
      </c>
      <c r="X50" s="87"/>
    </row>
    <row r="51" spans="1:24" ht="35.1" customHeight="1" x14ac:dyDescent="0.2">
      <c r="A51" s="140" t="str">
        <f>'Wikia | Gehege'!A51</f>
        <v>Halsbandpekari</v>
      </c>
      <c r="B51" s="35">
        <v>307</v>
      </c>
      <c r="C51" s="36">
        <v>0</v>
      </c>
      <c r="D51" s="36">
        <v>0</v>
      </c>
      <c r="E51" s="37">
        <v>0</v>
      </c>
      <c r="F51" s="35">
        <f>IFERROR(B51-VLOOKUP($A51,'Wikia | Gehege'!$A:$AL,17,FALSE),0)</f>
        <v>7</v>
      </c>
      <c r="G51" s="36">
        <f>IFERROR(C51-VLOOKUP($A51,'Wikia | Gehege'!$A:$AL,18,FALSE),0)</f>
        <v>0</v>
      </c>
      <c r="H51" s="36">
        <f>IFERROR(D51-VLOOKUP($A51,'Wikia | Gehege'!$A:$AL,19,FALSE),0)</f>
        <v>0</v>
      </c>
      <c r="I51" s="37">
        <f>IFERROR(E51-VLOOKUP($A51,'Wikia | Gehege'!$A:$AL,20,FALSE),0)</f>
        <v>0</v>
      </c>
      <c r="J51" s="35">
        <f>IFERROR(IF(VLOOKUP($A51,'Wikia | Gehege'!$A:$AL,26,FALSE)=1,VLOOKUP($A51,'Wikia | Gehege'!$A:$AL,17,FALSE),VLOOKUP($A51,'Wikia | Gehege'!$A:$AL,17,FALSE)+VLOOKUP($A51,'Wikia | Gehege'!$A:$AL,26,FALSE)*($F51)-1*$F51),0)</f>
        <v>328</v>
      </c>
      <c r="K51" s="36">
        <f>IFERROR(IF(VLOOKUP($A51,'Wikia | Gehege'!$A:$AL,26,FALSE)=1,VLOOKUP($A51,'Wikia | Gehege'!$A:$AL,18,FALSE),VLOOKUP($A51,'Wikia | Gehege'!$A:$AL,18,FALSE)+VLOOKUP($A51,'Wikia | Gehege'!$A:$AL,26,FALSE)*($G51)-1*$G51),0)</f>
        <v>0</v>
      </c>
      <c r="L51" s="36">
        <f>IFERROR(IF(VLOOKUP($A51,'Wikia | Gehege'!$A:$AL,26,FALSE)=1,VLOOKUP($A51,'Wikia | Gehege'!$A:$AL,19,FALSE),VLOOKUP($A51,'Wikia | Gehege'!$A:$AL,19,FALSE)+VLOOKUP($A51,'Wikia | Gehege'!$A:$AL,26,FALSE)*($H51)-1*$H51),0)</f>
        <v>0</v>
      </c>
      <c r="M51" s="37">
        <f>IFERROR(IF(VLOOKUP($A51,'Wikia | Gehege'!$A:$AL,26,FALSE)=1,VLOOKUP($A51,'Wikia | Gehege'!$A:$AL,20,FALSE),VLOOKUP($A51,'Wikia | Gehege'!$A:$AL,20,FALSE)+VLOOKUP($A51,'Wikia | Gehege'!$A:$AL,26,FALSE)*($I51)-1*$I51),0)</f>
        <v>0</v>
      </c>
      <c r="N51" s="35">
        <f>IFERROR(IF(VLOOKUP($A51,'Wikia | Gehege'!$A:$AL,27,FALSE)=1,VLOOKUP($A51,'Wikia | Gehege'!$A:$AL,17,FALSE),VLOOKUP($A51,'Wikia | Gehege'!$A:$AL,17,FALSE)+VLOOKUP($A51,'Wikia | Gehege'!$A:$AL,27,FALSE)*($F51)-1*$F51),0)</f>
        <v>398</v>
      </c>
      <c r="O51" s="36">
        <f>IFERROR(IF(VLOOKUP($A51,'Wikia | Gehege'!$A:$AL,27,FALSE)=1,VLOOKUP($A51,'Wikia | Gehege'!$A:$AL,18,FALSE),VLOOKUP($A51,'Wikia | Gehege'!$A:$AL,18,FALSE)+VLOOKUP($A51,'Wikia | Gehege'!$A:$AL,27,FALSE)*($G51)-1*$G51),0)</f>
        <v>0</v>
      </c>
      <c r="P51" s="36">
        <f>IFERROR(IF(VLOOKUP($A51,'Wikia | Gehege'!$A:$AL,27,FALSE)=1,VLOOKUP($A51,'Wikia | Gehege'!$A:$AL,19,FALSE),VLOOKUP($A51,'Wikia | Gehege'!$A:$AL,19,FALSE)+VLOOKUP($A51,'Wikia | Gehege'!$A:$AL,27,FALSE)*($H51)-1*$H51),0)</f>
        <v>0</v>
      </c>
      <c r="Q51" s="37">
        <f>IFERROR(IF(VLOOKUP($A51,'Wikia | Gehege'!$A:$AL,27,FALSE)=1,VLOOKUP($A51,'Wikia | Gehege'!$A:$AL,20,FALSE),VLOOKUP($A51,'Wikia | Gehege'!$A:$AL,20,FALSE)+VLOOKUP($A51,'Wikia | Gehege'!$A:$AL,27,FALSE)*($I51)-1*$I51),0)</f>
        <v>0</v>
      </c>
      <c r="R51" s="87"/>
      <c r="S51" s="94"/>
      <c r="T51" s="38">
        <f>IFERROR(VLOOKUP($A51,'Wikia | Gehege'!$A:$AL,17,FALSE)+(($S51-1)*$F51),0)</f>
        <v>293</v>
      </c>
      <c r="U51" s="38">
        <f>IFERROR(VLOOKUP($A51,'Wikia | Gehege'!$A:$AL,18,FALSE)+(($S51-1)*$G51),0)</f>
        <v>0</v>
      </c>
      <c r="V51" s="38">
        <f>IFERROR(VLOOKUP($A51,'Wikia | Gehege'!$A:$AL,19,FALSE)+(($S51-1)*$H51),0)</f>
        <v>0</v>
      </c>
      <c r="W51" s="85">
        <f>IFERROR(VLOOKUP($A51,'Wikia | Gehege'!$A:$AL,20,FALSE)+(($S51-1)*$I51),0)</f>
        <v>0</v>
      </c>
      <c r="X51" s="87"/>
    </row>
    <row r="52" spans="1:24" ht="35.1" customHeight="1" x14ac:dyDescent="0.2">
      <c r="A52" s="140" t="str">
        <f>'Wikia | Gehege'!A52</f>
        <v>Hausziege</v>
      </c>
      <c r="B52" s="35">
        <v>415</v>
      </c>
      <c r="C52" s="36">
        <v>0</v>
      </c>
      <c r="D52" s="36">
        <v>0</v>
      </c>
      <c r="E52" s="37">
        <v>0</v>
      </c>
      <c r="F52" s="35">
        <f>IFERROR(B52-VLOOKUP($A52,'Wikia | Gehege'!$A:$AL,17,FALSE),0)</f>
        <v>25</v>
      </c>
      <c r="G52" s="36">
        <f>IFERROR(C52-VLOOKUP($A52,'Wikia | Gehege'!$A:$AL,18,FALSE),0)</f>
        <v>0</v>
      </c>
      <c r="H52" s="36">
        <f>IFERROR(D52-VLOOKUP($A52,'Wikia | Gehege'!$A:$AL,19,FALSE),0)</f>
        <v>0</v>
      </c>
      <c r="I52" s="37">
        <f>IFERROR(E52-VLOOKUP($A52,'Wikia | Gehege'!$A:$AL,20,FALSE),0)</f>
        <v>0</v>
      </c>
      <c r="J52" s="35">
        <f>IFERROR(IF(VLOOKUP($A52,'Wikia | Gehege'!$A:$AL,26,FALSE)=1,VLOOKUP($A52,'Wikia | Gehege'!$A:$AL,17,FALSE),VLOOKUP($A52,'Wikia | Gehege'!$A:$AL,17,FALSE)+VLOOKUP($A52,'Wikia | Gehege'!$A:$AL,26,FALSE)*($F52)-1*$F52),0)</f>
        <v>415</v>
      </c>
      <c r="K52" s="36">
        <f>IFERROR(IF(VLOOKUP($A52,'Wikia | Gehege'!$A:$AL,26,FALSE)=1,VLOOKUP($A52,'Wikia | Gehege'!$A:$AL,18,FALSE),VLOOKUP($A52,'Wikia | Gehege'!$A:$AL,18,FALSE)+VLOOKUP($A52,'Wikia | Gehege'!$A:$AL,26,FALSE)*($G52)-1*$G52),0)</f>
        <v>0</v>
      </c>
      <c r="L52" s="36">
        <f>IFERROR(IF(VLOOKUP($A52,'Wikia | Gehege'!$A:$AL,26,FALSE)=1,VLOOKUP($A52,'Wikia | Gehege'!$A:$AL,19,FALSE),VLOOKUP($A52,'Wikia | Gehege'!$A:$AL,19,FALSE)+VLOOKUP($A52,'Wikia | Gehege'!$A:$AL,26,FALSE)*($H52)-1*$H52),0)</f>
        <v>0</v>
      </c>
      <c r="M52" s="37">
        <f>IFERROR(IF(VLOOKUP($A52,'Wikia | Gehege'!$A:$AL,26,FALSE)=1,VLOOKUP($A52,'Wikia | Gehege'!$A:$AL,20,FALSE),VLOOKUP($A52,'Wikia | Gehege'!$A:$AL,20,FALSE)+VLOOKUP($A52,'Wikia | Gehege'!$A:$AL,26,FALSE)*($I52)-1*$I52),0)</f>
        <v>0</v>
      </c>
      <c r="N52" s="35">
        <f>IFERROR(IF(VLOOKUP($A52,'Wikia | Gehege'!$A:$AL,27,FALSE)=1,VLOOKUP($A52,'Wikia | Gehege'!$A:$AL,17,FALSE),VLOOKUP($A52,'Wikia | Gehege'!$A:$AL,17,FALSE)+VLOOKUP($A52,'Wikia | Gehege'!$A:$AL,27,FALSE)*($F52)-1*$F52),0)</f>
        <v>1115</v>
      </c>
      <c r="O52" s="36">
        <f>IFERROR(IF(VLOOKUP($A52,'Wikia | Gehege'!$A:$AL,27,FALSE)=1,VLOOKUP($A52,'Wikia | Gehege'!$A:$AL,18,FALSE),VLOOKUP($A52,'Wikia | Gehege'!$A:$AL,18,FALSE)+VLOOKUP($A52,'Wikia | Gehege'!$A:$AL,27,FALSE)*($G52)-1*$G52),0)</f>
        <v>0</v>
      </c>
      <c r="P52" s="36">
        <f>IFERROR(IF(VLOOKUP($A52,'Wikia | Gehege'!$A:$AL,27,FALSE)=1,VLOOKUP($A52,'Wikia | Gehege'!$A:$AL,19,FALSE),VLOOKUP($A52,'Wikia | Gehege'!$A:$AL,19,FALSE)+VLOOKUP($A52,'Wikia | Gehege'!$A:$AL,27,FALSE)*($H52)-1*$H52),0)</f>
        <v>0</v>
      </c>
      <c r="Q52" s="37">
        <f>IFERROR(IF(VLOOKUP($A52,'Wikia | Gehege'!$A:$AL,27,FALSE)=1,VLOOKUP($A52,'Wikia | Gehege'!$A:$AL,20,FALSE),VLOOKUP($A52,'Wikia | Gehege'!$A:$AL,20,FALSE)+VLOOKUP($A52,'Wikia | Gehege'!$A:$AL,27,FALSE)*($I52)-1*$I52),0)</f>
        <v>0</v>
      </c>
      <c r="R52" s="87"/>
      <c r="S52" s="94"/>
      <c r="T52" s="38">
        <f>IFERROR(VLOOKUP($A52,'Wikia | Gehege'!$A:$AL,17,FALSE)+(($S52-1)*$F52),0)</f>
        <v>365</v>
      </c>
      <c r="U52" s="38">
        <f>IFERROR(VLOOKUP($A52,'Wikia | Gehege'!$A:$AL,18,FALSE)+(($S52-1)*$G52),0)</f>
        <v>0</v>
      </c>
      <c r="V52" s="38">
        <f>IFERROR(VLOOKUP($A52,'Wikia | Gehege'!$A:$AL,19,FALSE)+(($S52-1)*$H52),0)</f>
        <v>0</v>
      </c>
      <c r="W52" s="85">
        <f>IFERROR(VLOOKUP($A52,'Wikia | Gehege'!$A:$AL,20,FALSE)+(($S52-1)*$I52),0)</f>
        <v>0</v>
      </c>
      <c r="X52" s="87"/>
    </row>
    <row r="53" spans="1:24" ht="35.1" customHeight="1" x14ac:dyDescent="0.2">
      <c r="A53" s="140" t="str">
        <f>'Wikia | Gehege'!A53</f>
        <v>Helmkasuar</v>
      </c>
      <c r="B53" s="35">
        <v>500</v>
      </c>
      <c r="C53" s="36">
        <v>0</v>
      </c>
      <c r="D53" s="36">
        <v>0</v>
      </c>
      <c r="E53" s="37">
        <v>0</v>
      </c>
      <c r="F53" s="35">
        <f>IFERROR(B53-VLOOKUP($A53,'Wikia | Gehege'!$A:$AL,17,FALSE),0)</f>
        <v>100</v>
      </c>
      <c r="G53" s="36">
        <f>IFERROR(C53-VLOOKUP($A53,'Wikia | Gehege'!$A:$AL,18,FALSE),0)</f>
        <v>0</v>
      </c>
      <c r="H53" s="36">
        <f>IFERROR(D53-VLOOKUP($A53,'Wikia | Gehege'!$A:$AL,19,FALSE),0)</f>
        <v>0</v>
      </c>
      <c r="I53" s="37">
        <f>IFERROR(E53-VLOOKUP($A53,'Wikia | Gehege'!$A:$AL,20,FALSE),0)</f>
        <v>0</v>
      </c>
      <c r="J53" s="35">
        <f>IFERROR(IF(VLOOKUP($A53,'Wikia | Gehege'!$A:$AL,26,FALSE)=1,VLOOKUP($A53,'Wikia | Gehege'!$A:$AL,17,FALSE),VLOOKUP($A53,'Wikia | Gehege'!$A:$AL,17,FALSE)+VLOOKUP($A53,'Wikia | Gehege'!$A:$AL,26,FALSE)*($F53)-1*$F53),0)</f>
        <v>400</v>
      </c>
      <c r="K53" s="36">
        <f>IFERROR(IF(VLOOKUP($A53,'Wikia | Gehege'!$A:$AL,26,FALSE)=1,VLOOKUP($A53,'Wikia | Gehege'!$A:$AL,18,FALSE),VLOOKUP($A53,'Wikia | Gehege'!$A:$AL,18,FALSE)+VLOOKUP($A53,'Wikia | Gehege'!$A:$AL,26,FALSE)*($G53)-1*$G53),0)</f>
        <v>0</v>
      </c>
      <c r="L53" s="36">
        <f>IFERROR(IF(VLOOKUP($A53,'Wikia | Gehege'!$A:$AL,26,FALSE)=1,VLOOKUP($A53,'Wikia | Gehege'!$A:$AL,19,FALSE),VLOOKUP($A53,'Wikia | Gehege'!$A:$AL,19,FALSE)+VLOOKUP($A53,'Wikia | Gehege'!$A:$AL,26,FALSE)*($H53)-1*$H53),0)</f>
        <v>0</v>
      </c>
      <c r="M53" s="37">
        <f>IFERROR(IF(VLOOKUP($A53,'Wikia | Gehege'!$A:$AL,26,FALSE)=1,VLOOKUP($A53,'Wikia | Gehege'!$A:$AL,20,FALSE),VLOOKUP($A53,'Wikia | Gehege'!$A:$AL,20,FALSE)+VLOOKUP($A53,'Wikia | Gehege'!$A:$AL,26,FALSE)*($I53)-1*$I53),0)</f>
        <v>0</v>
      </c>
      <c r="N53" s="35">
        <f>IFERROR(IF(VLOOKUP($A53,'Wikia | Gehege'!$A:$AL,27,FALSE)=1,VLOOKUP($A53,'Wikia | Gehege'!$A:$AL,17,FALSE),VLOOKUP($A53,'Wikia | Gehege'!$A:$AL,17,FALSE)+VLOOKUP($A53,'Wikia | Gehege'!$A:$AL,27,FALSE)*($F53)-1*$F53),0)</f>
        <v>500</v>
      </c>
      <c r="O53" s="36">
        <f>IFERROR(IF(VLOOKUP($A53,'Wikia | Gehege'!$A:$AL,27,FALSE)=1,VLOOKUP($A53,'Wikia | Gehege'!$A:$AL,18,FALSE),VLOOKUP($A53,'Wikia | Gehege'!$A:$AL,18,FALSE)+VLOOKUP($A53,'Wikia | Gehege'!$A:$AL,27,FALSE)*($G53)-1*$G53),0)</f>
        <v>0</v>
      </c>
      <c r="P53" s="36">
        <f>IFERROR(IF(VLOOKUP($A53,'Wikia | Gehege'!$A:$AL,27,FALSE)=1,VLOOKUP($A53,'Wikia | Gehege'!$A:$AL,19,FALSE),VLOOKUP($A53,'Wikia | Gehege'!$A:$AL,19,FALSE)+VLOOKUP($A53,'Wikia | Gehege'!$A:$AL,27,FALSE)*($H53)-1*$H53),0)</f>
        <v>0</v>
      </c>
      <c r="Q53" s="37">
        <f>IFERROR(IF(VLOOKUP($A53,'Wikia | Gehege'!$A:$AL,27,FALSE)=1,VLOOKUP($A53,'Wikia | Gehege'!$A:$AL,20,FALSE),VLOOKUP($A53,'Wikia | Gehege'!$A:$AL,20,FALSE)+VLOOKUP($A53,'Wikia | Gehege'!$A:$AL,27,FALSE)*($I53)-1*$I53),0)</f>
        <v>0</v>
      </c>
      <c r="R53" s="87"/>
      <c r="S53" s="94"/>
      <c r="T53" s="38">
        <f>IFERROR(VLOOKUP($A53,'Wikia | Gehege'!$A:$AL,17,FALSE)+(($S53-1)*$F53),0)</f>
        <v>300</v>
      </c>
      <c r="U53" s="38">
        <f>IFERROR(VLOOKUP($A53,'Wikia | Gehege'!$A:$AL,18,FALSE)+(($S53-1)*$G53),0)</f>
        <v>0</v>
      </c>
      <c r="V53" s="38">
        <f>IFERROR(VLOOKUP($A53,'Wikia | Gehege'!$A:$AL,19,FALSE)+(($S53-1)*$H53),0)</f>
        <v>0</v>
      </c>
      <c r="W53" s="85">
        <f>IFERROR(VLOOKUP($A53,'Wikia | Gehege'!$A:$AL,20,FALSE)+(($S53-1)*$I53),0)</f>
        <v>0</v>
      </c>
      <c r="X53" s="87"/>
    </row>
    <row r="54" spans="1:24" ht="35.1" customHeight="1" x14ac:dyDescent="0.2">
      <c r="A54" s="140" t="str">
        <f>'Wikia | Gehege'!A54</f>
        <v>Hill-Radnor-Schaf</v>
      </c>
      <c r="B54" s="35">
        <v>480</v>
      </c>
      <c r="C54" s="36">
        <v>0</v>
      </c>
      <c r="D54" s="36">
        <v>0</v>
      </c>
      <c r="E54" s="37">
        <v>0</v>
      </c>
      <c r="F54" s="35">
        <f>IFERROR(B54-VLOOKUP($A54,'Wikia | Gehege'!$A:$AL,17,FALSE),0)</f>
        <v>55</v>
      </c>
      <c r="G54" s="36">
        <f>IFERROR(C54-VLOOKUP($A54,'Wikia | Gehege'!$A:$AL,18,FALSE),0)</f>
        <v>0</v>
      </c>
      <c r="H54" s="36">
        <f>IFERROR(D54-VLOOKUP($A54,'Wikia | Gehege'!$A:$AL,19,FALSE),0)</f>
        <v>0</v>
      </c>
      <c r="I54" s="37">
        <f>IFERROR(E54-VLOOKUP($A54,'Wikia | Gehege'!$A:$AL,20,FALSE),0)</f>
        <v>0</v>
      </c>
      <c r="J54" s="35">
        <f>IFERROR(IF(VLOOKUP($A54,'Wikia | Gehege'!$A:$AL,26,FALSE)=1,VLOOKUP($A54,'Wikia | Gehege'!$A:$AL,17,FALSE),VLOOKUP($A54,'Wikia | Gehege'!$A:$AL,17,FALSE)+VLOOKUP($A54,'Wikia | Gehege'!$A:$AL,26,FALSE)*($F54)-1*$F54),0)</f>
        <v>535</v>
      </c>
      <c r="K54" s="36">
        <f>IFERROR(IF(VLOOKUP($A54,'Wikia | Gehege'!$A:$AL,26,FALSE)=1,VLOOKUP($A54,'Wikia | Gehege'!$A:$AL,18,FALSE),VLOOKUP($A54,'Wikia | Gehege'!$A:$AL,18,FALSE)+VLOOKUP($A54,'Wikia | Gehege'!$A:$AL,26,FALSE)*($G54)-1*$G54),0)</f>
        <v>0</v>
      </c>
      <c r="L54" s="36">
        <f>IFERROR(IF(VLOOKUP($A54,'Wikia | Gehege'!$A:$AL,26,FALSE)=1,VLOOKUP($A54,'Wikia | Gehege'!$A:$AL,19,FALSE),VLOOKUP($A54,'Wikia | Gehege'!$A:$AL,19,FALSE)+VLOOKUP($A54,'Wikia | Gehege'!$A:$AL,26,FALSE)*($H54)-1*$H54),0)</f>
        <v>0</v>
      </c>
      <c r="M54" s="37">
        <f>IFERROR(IF(VLOOKUP($A54,'Wikia | Gehege'!$A:$AL,26,FALSE)=1,VLOOKUP($A54,'Wikia | Gehege'!$A:$AL,20,FALSE),VLOOKUP($A54,'Wikia | Gehege'!$A:$AL,20,FALSE)+VLOOKUP($A54,'Wikia | Gehege'!$A:$AL,26,FALSE)*($I54)-1*$I54),0)</f>
        <v>0</v>
      </c>
      <c r="N54" s="35">
        <f>IFERROR(IF(VLOOKUP($A54,'Wikia | Gehege'!$A:$AL,27,FALSE)=1,VLOOKUP($A54,'Wikia | Gehege'!$A:$AL,17,FALSE),VLOOKUP($A54,'Wikia | Gehege'!$A:$AL,17,FALSE)+VLOOKUP($A54,'Wikia | Gehege'!$A:$AL,27,FALSE)*($F54)-1*$F54),0)</f>
        <v>3120</v>
      </c>
      <c r="O54" s="36">
        <f>IFERROR(IF(VLOOKUP($A54,'Wikia | Gehege'!$A:$AL,27,FALSE)=1,VLOOKUP($A54,'Wikia | Gehege'!$A:$AL,18,FALSE),VLOOKUP($A54,'Wikia | Gehege'!$A:$AL,18,FALSE)+VLOOKUP($A54,'Wikia | Gehege'!$A:$AL,27,FALSE)*($G54)-1*$G54),0)</f>
        <v>0</v>
      </c>
      <c r="P54" s="36">
        <f>IFERROR(IF(VLOOKUP($A54,'Wikia | Gehege'!$A:$AL,27,FALSE)=1,VLOOKUP($A54,'Wikia | Gehege'!$A:$AL,19,FALSE),VLOOKUP($A54,'Wikia | Gehege'!$A:$AL,19,FALSE)+VLOOKUP($A54,'Wikia | Gehege'!$A:$AL,27,FALSE)*($H54)-1*$H54),0)</f>
        <v>0</v>
      </c>
      <c r="Q54" s="37">
        <f>IFERROR(IF(VLOOKUP($A54,'Wikia | Gehege'!$A:$AL,27,FALSE)=1,VLOOKUP($A54,'Wikia | Gehege'!$A:$AL,20,FALSE),VLOOKUP($A54,'Wikia | Gehege'!$A:$AL,20,FALSE)+VLOOKUP($A54,'Wikia | Gehege'!$A:$AL,27,FALSE)*($I54)-1*$I54),0)</f>
        <v>0</v>
      </c>
      <c r="R54" s="87"/>
      <c r="S54" s="94"/>
      <c r="T54" s="38">
        <f>IFERROR(VLOOKUP($A54,'Wikia | Gehege'!$A:$AL,17,FALSE)+(($S54-1)*$F54),0)</f>
        <v>370</v>
      </c>
      <c r="U54" s="38">
        <f>IFERROR(VLOOKUP($A54,'Wikia | Gehege'!$A:$AL,18,FALSE)+(($S54-1)*$G54),0)</f>
        <v>0</v>
      </c>
      <c r="V54" s="38">
        <f>IFERROR(VLOOKUP($A54,'Wikia | Gehege'!$A:$AL,19,FALSE)+(($S54-1)*$H54),0)</f>
        <v>0</v>
      </c>
      <c r="W54" s="85">
        <f>IFERROR(VLOOKUP($A54,'Wikia | Gehege'!$A:$AL,20,FALSE)+(($S54-1)*$I54),0)</f>
        <v>0</v>
      </c>
      <c r="X54" s="87"/>
    </row>
    <row r="55" spans="1:24" ht="35.1" customHeight="1" x14ac:dyDescent="0.2">
      <c r="A55" s="140" t="str">
        <f>'Wikia | Gehege'!A55</f>
        <v>Hochlandrind</v>
      </c>
      <c r="B55" s="35">
        <v>535</v>
      </c>
      <c r="C55" s="36">
        <v>0</v>
      </c>
      <c r="D55" s="36">
        <v>0</v>
      </c>
      <c r="E55" s="37">
        <v>0</v>
      </c>
      <c r="F55" s="35">
        <f>IFERROR(B55-VLOOKUP($A55,'Wikia | Gehege'!$A:$AL,17,FALSE),0)</f>
        <v>80</v>
      </c>
      <c r="G55" s="36">
        <f>IFERROR(C55-VLOOKUP($A55,'Wikia | Gehege'!$A:$AL,18,FALSE),0)</f>
        <v>0</v>
      </c>
      <c r="H55" s="36">
        <f>IFERROR(D55-VLOOKUP($A55,'Wikia | Gehege'!$A:$AL,19,FALSE),0)</f>
        <v>0</v>
      </c>
      <c r="I55" s="37">
        <f>IFERROR(E55-VLOOKUP($A55,'Wikia | Gehege'!$A:$AL,20,FALSE),0)</f>
        <v>0</v>
      </c>
      <c r="J55" s="35">
        <f>IFERROR(IF(VLOOKUP($A55,'Wikia | Gehege'!$A:$AL,26,FALSE)=1,VLOOKUP($A55,'Wikia | Gehege'!$A:$AL,17,FALSE),VLOOKUP($A55,'Wikia | Gehege'!$A:$AL,17,FALSE)+VLOOKUP($A55,'Wikia | Gehege'!$A:$AL,26,FALSE)*($F55)-1*$F55),0)</f>
        <v>615</v>
      </c>
      <c r="K55" s="36">
        <f>IFERROR(IF(VLOOKUP($A55,'Wikia | Gehege'!$A:$AL,26,FALSE)=1,VLOOKUP($A55,'Wikia | Gehege'!$A:$AL,18,FALSE),VLOOKUP($A55,'Wikia | Gehege'!$A:$AL,18,FALSE)+VLOOKUP($A55,'Wikia | Gehege'!$A:$AL,26,FALSE)*($G55)-1*$G55),0)</f>
        <v>0</v>
      </c>
      <c r="L55" s="36">
        <f>IFERROR(IF(VLOOKUP($A55,'Wikia | Gehege'!$A:$AL,26,FALSE)=1,VLOOKUP($A55,'Wikia | Gehege'!$A:$AL,19,FALSE),VLOOKUP($A55,'Wikia | Gehege'!$A:$AL,19,FALSE)+VLOOKUP($A55,'Wikia | Gehege'!$A:$AL,26,FALSE)*($H55)-1*$H55),0)</f>
        <v>0</v>
      </c>
      <c r="M55" s="37">
        <f>IFERROR(IF(VLOOKUP($A55,'Wikia | Gehege'!$A:$AL,26,FALSE)=1,VLOOKUP($A55,'Wikia | Gehege'!$A:$AL,20,FALSE),VLOOKUP($A55,'Wikia | Gehege'!$A:$AL,20,FALSE)+VLOOKUP($A55,'Wikia | Gehege'!$A:$AL,26,FALSE)*($I55)-1*$I55),0)</f>
        <v>0</v>
      </c>
      <c r="N55" s="35">
        <f>IFERROR(IF(VLOOKUP($A55,'Wikia | Gehege'!$A:$AL,27,FALSE)=1,VLOOKUP($A55,'Wikia | Gehege'!$A:$AL,17,FALSE),VLOOKUP($A55,'Wikia | Gehege'!$A:$AL,17,FALSE)+VLOOKUP($A55,'Wikia | Gehege'!$A:$AL,27,FALSE)*($F55)-1*$F55),0)</f>
        <v>1975</v>
      </c>
      <c r="O55" s="36">
        <f>IFERROR(IF(VLOOKUP($A55,'Wikia | Gehege'!$A:$AL,27,FALSE)=1,VLOOKUP($A55,'Wikia | Gehege'!$A:$AL,18,FALSE),VLOOKUP($A55,'Wikia | Gehege'!$A:$AL,18,FALSE)+VLOOKUP($A55,'Wikia | Gehege'!$A:$AL,27,FALSE)*($G55)-1*$G55),0)</f>
        <v>0</v>
      </c>
      <c r="P55" s="36">
        <f>IFERROR(IF(VLOOKUP($A55,'Wikia | Gehege'!$A:$AL,27,FALSE)=1,VLOOKUP($A55,'Wikia | Gehege'!$A:$AL,19,FALSE),VLOOKUP($A55,'Wikia | Gehege'!$A:$AL,19,FALSE)+VLOOKUP($A55,'Wikia | Gehege'!$A:$AL,27,FALSE)*($H55)-1*$H55),0)</f>
        <v>0</v>
      </c>
      <c r="Q55" s="37">
        <f>IFERROR(IF(VLOOKUP($A55,'Wikia | Gehege'!$A:$AL,27,FALSE)=1,VLOOKUP($A55,'Wikia | Gehege'!$A:$AL,20,FALSE),VLOOKUP($A55,'Wikia | Gehege'!$A:$AL,20,FALSE)+VLOOKUP($A55,'Wikia | Gehege'!$A:$AL,27,FALSE)*($I55)-1*$I55),0)</f>
        <v>0</v>
      </c>
      <c r="R55" s="87"/>
      <c r="S55" s="94"/>
      <c r="T55" s="38">
        <f>IFERROR(VLOOKUP($A55,'Wikia | Gehege'!$A:$AL,17,FALSE)+(($S55-1)*$F55),0)</f>
        <v>375</v>
      </c>
      <c r="U55" s="38">
        <f>IFERROR(VLOOKUP($A55,'Wikia | Gehege'!$A:$AL,18,FALSE)+(($S55-1)*$G55),0)</f>
        <v>0</v>
      </c>
      <c r="V55" s="38">
        <f>IFERROR(VLOOKUP($A55,'Wikia | Gehege'!$A:$AL,19,FALSE)+(($S55-1)*$H55),0)</f>
        <v>0</v>
      </c>
      <c r="W55" s="85">
        <f>IFERROR(VLOOKUP($A55,'Wikia | Gehege'!$A:$AL,20,FALSE)+(($S55-1)*$I55),0)</f>
        <v>0</v>
      </c>
      <c r="X55" s="87"/>
    </row>
    <row r="56" spans="1:24" ht="35.1" customHeight="1" x14ac:dyDescent="0.2">
      <c r="A56" s="140" t="str">
        <f>'Wikia | Gehege'!A56</f>
        <v>Höckerschwan</v>
      </c>
      <c r="B56" s="35">
        <v>312</v>
      </c>
      <c r="C56" s="36">
        <v>0</v>
      </c>
      <c r="D56" s="36">
        <v>156</v>
      </c>
      <c r="E56" s="37">
        <v>0</v>
      </c>
      <c r="F56" s="35">
        <f>IFERROR(B56-VLOOKUP($A56,'Wikia | Gehege'!$A:$AL,17,FALSE),0)</f>
        <v>12</v>
      </c>
      <c r="G56" s="36">
        <f>IFERROR(C56-VLOOKUP($A56,'Wikia | Gehege'!$A:$AL,18,FALSE),0)</f>
        <v>0</v>
      </c>
      <c r="H56" s="36">
        <f>IFERROR(D56-VLOOKUP($A56,'Wikia | Gehege'!$A:$AL,19,FALSE),0)</f>
        <v>6</v>
      </c>
      <c r="I56" s="37">
        <f>IFERROR(E56-VLOOKUP($A56,'Wikia | Gehege'!$A:$AL,20,FALSE),0)</f>
        <v>0</v>
      </c>
      <c r="J56" s="35">
        <f>IFERROR(IF(VLOOKUP($A56,'Wikia | Gehege'!$A:$AL,26,FALSE)=1,VLOOKUP($A56,'Wikia | Gehege'!$A:$AL,17,FALSE),VLOOKUP($A56,'Wikia | Gehege'!$A:$AL,17,FALSE)+VLOOKUP($A56,'Wikia | Gehege'!$A:$AL,26,FALSE)*($F56)-1*$F56),0)</f>
        <v>312</v>
      </c>
      <c r="K56" s="36">
        <f>IFERROR(IF(VLOOKUP($A56,'Wikia | Gehege'!$A:$AL,26,FALSE)=1,VLOOKUP($A56,'Wikia | Gehege'!$A:$AL,18,FALSE),VLOOKUP($A56,'Wikia | Gehege'!$A:$AL,18,FALSE)+VLOOKUP($A56,'Wikia | Gehege'!$A:$AL,26,FALSE)*($G56)-1*$G56),0)</f>
        <v>0</v>
      </c>
      <c r="L56" s="36">
        <f>IFERROR(IF(VLOOKUP($A56,'Wikia | Gehege'!$A:$AL,26,FALSE)=1,VLOOKUP($A56,'Wikia | Gehege'!$A:$AL,19,FALSE),VLOOKUP($A56,'Wikia | Gehege'!$A:$AL,19,FALSE)+VLOOKUP($A56,'Wikia | Gehege'!$A:$AL,26,FALSE)*($H56)-1*$H56),0)</f>
        <v>156</v>
      </c>
      <c r="M56" s="37">
        <f>IFERROR(IF(VLOOKUP($A56,'Wikia | Gehege'!$A:$AL,26,FALSE)=1,VLOOKUP($A56,'Wikia | Gehege'!$A:$AL,20,FALSE),VLOOKUP($A56,'Wikia | Gehege'!$A:$AL,20,FALSE)+VLOOKUP($A56,'Wikia | Gehege'!$A:$AL,26,FALSE)*($I56)-1*$I56),0)</f>
        <v>0</v>
      </c>
      <c r="N56" s="35">
        <f>IFERROR(IF(VLOOKUP($A56,'Wikia | Gehege'!$A:$AL,27,FALSE)=1,VLOOKUP($A56,'Wikia | Gehege'!$A:$AL,17,FALSE),VLOOKUP($A56,'Wikia | Gehege'!$A:$AL,17,FALSE)+VLOOKUP($A56,'Wikia | Gehege'!$A:$AL,27,FALSE)*($F56)-1*$F56),0)</f>
        <v>888</v>
      </c>
      <c r="O56" s="36">
        <f>IFERROR(IF(VLOOKUP($A56,'Wikia | Gehege'!$A:$AL,27,FALSE)=1,VLOOKUP($A56,'Wikia | Gehege'!$A:$AL,18,FALSE),VLOOKUP($A56,'Wikia | Gehege'!$A:$AL,18,FALSE)+VLOOKUP($A56,'Wikia | Gehege'!$A:$AL,27,FALSE)*($G56)-1*$G56),0)</f>
        <v>0</v>
      </c>
      <c r="P56" s="36">
        <f>IFERROR(IF(VLOOKUP($A56,'Wikia | Gehege'!$A:$AL,27,FALSE)=1,VLOOKUP($A56,'Wikia | Gehege'!$A:$AL,19,FALSE),VLOOKUP($A56,'Wikia | Gehege'!$A:$AL,19,FALSE)+VLOOKUP($A56,'Wikia | Gehege'!$A:$AL,27,FALSE)*($H56)-1*$H56),0)</f>
        <v>444</v>
      </c>
      <c r="Q56" s="37">
        <f>IFERROR(IF(VLOOKUP($A56,'Wikia | Gehege'!$A:$AL,27,FALSE)=1,VLOOKUP($A56,'Wikia | Gehege'!$A:$AL,20,FALSE),VLOOKUP($A56,'Wikia | Gehege'!$A:$AL,20,FALSE)+VLOOKUP($A56,'Wikia | Gehege'!$A:$AL,27,FALSE)*($I56)-1*$I56),0)</f>
        <v>0</v>
      </c>
      <c r="R56" s="87"/>
      <c r="S56" s="94"/>
      <c r="T56" s="38">
        <f>IFERROR(VLOOKUP($A56,'Wikia | Gehege'!$A:$AL,17,FALSE)+(($S56-1)*$F56),0)</f>
        <v>288</v>
      </c>
      <c r="U56" s="38">
        <f>IFERROR(VLOOKUP($A56,'Wikia | Gehege'!$A:$AL,18,FALSE)+(($S56-1)*$G56),0)</f>
        <v>0</v>
      </c>
      <c r="V56" s="38">
        <f>IFERROR(VLOOKUP($A56,'Wikia | Gehege'!$A:$AL,19,FALSE)+(($S56-1)*$H56),0)</f>
        <v>144</v>
      </c>
      <c r="W56" s="85">
        <f>IFERROR(VLOOKUP($A56,'Wikia | Gehege'!$A:$AL,20,FALSE)+(($S56-1)*$I56),0)</f>
        <v>0</v>
      </c>
      <c r="X56" s="87"/>
    </row>
    <row r="57" spans="1:24" ht="35.1" customHeight="1" x14ac:dyDescent="0.2">
      <c r="A57" s="140" t="str">
        <f>'Wikia | Gehege'!A57</f>
        <v xml:space="preserve">Indischer Elefant </v>
      </c>
      <c r="B57" s="35">
        <v>1086</v>
      </c>
      <c r="C57" s="36">
        <v>0</v>
      </c>
      <c r="D57" s="36">
        <v>101</v>
      </c>
      <c r="E57" s="37">
        <v>0</v>
      </c>
      <c r="F57" s="35">
        <f>IFERROR(B57-VLOOKUP($A57,'Wikia | Gehege'!$A:$AL,17,FALSE),0)</f>
        <v>204</v>
      </c>
      <c r="G57" s="36">
        <f>IFERROR(C57-VLOOKUP($A57,'Wikia | Gehege'!$A:$AL,18,FALSE),0)</f>
        <v>0</v>
      </c>
      <c r="H57" s="36">
        <f>IFERROR(D57-VLOOKUP($A57,'Wikia | Gehege'!$A:$AL,19,FALSE),0)</f>
        <v>34</v>
      </c>
      <c r="I57" s="37">
        <f>IFERROR(E57-VLOOKUP($A57,'Wikia | Gehege'!$A:$AL,20,FALSE),0)</f>
        <v>0</v>
      </c>
      <c r="J57" s="35">
        <f>IFERROR(IF(VLOOKUP($A57,'Wikia | Gehege'!$A:$AL,26,FALSE)=1,VLOOKUP($A57,'Wikia | Gehege'!$A:$AL,17,FALSE),VLOOKUP($A57,'Wikia | Gehege'!$A:$AL,17,FALSE)+VLOOKUP($A57,'Wikia | Gehege'!$A:$AL,26,FALSE)*($F57)-1*$F57),0)</f>
        <v>1290</v>
      </c>
      <c r="K57" s="36">
        <f>IFERROR(IF(VLOOKUP($A57,'Wikia | Gehege'!$A:$AL,26,FALSE)=1,VLOOKUP($A57,'Wikia | Gehege'!$A:$AL,18,FALSE),VLOOKUP($A57,'Wikia | Gehege'!$A:$AL,18,FALSE)+VLOOKUP($A57,'Wikia | Gehege'!$A:$AL,26,FALSE)*($G57)-1*$G57),0)</f>
        <v>0</v>
      </c>
      <c r="L57" s="36">
        <f>IFERROR(IF(VLOOKUP($A57,'Wikia | Gehege'!$A:$AL,26,FALSE)=1,VLOOKUP($A57,'Wikia | Gehege'!$A:$AL,19,FALSE),VLOOKUP($A57,'Wikia | Gehege'!$A:$AL,19,FALSE)+VLOOKUP($A57,'Wikia | Gehege'!$A:$AL,26,FALSE)*($H57)-1*$H57),0)</f>
        <v>135</v>
      </c>
      <c r="M57" s="37">
        <f>IFERROR(IF(VLOOKUP($A57,'Wikia | Gehege'!$A:$AL,26,FALSE)=1,VLOOKUP($A57,'Wikia | Gehege'!$A:$AL,20,FALSE),VLOOKUP($A57,'Wikia | Gehege'!$A:$AL,20,FALSE)+VLOOKUP($A57,'Wikia | Gehege'!$A:$AL,26,FALSE)*($I57)-1*$I57),0)</f>
        <v>0</v>
      </c>
      <c r="N57" s="35">
        <f>IFERROR(IF(VLOOKUP($A57,'Wikia | Gehege'!$A:$AL,27,FALSE)=1,VLOOKUP($A57,'Wikia | Gehege'!$A:$AL,17,FALSE),VLOOKUP($A57,'Wikia | Gehege'!$A:$AL,17,FALSE)+VLOOKUP($A57,'Wikia | Gehege'!$A:$AL,27,FALSE)*($F57)-1*$F57),0)</f>
        <v>6798</v>
      </c>
      <c r="O57" s="36">
        <f>IFERROR(IF(VLOOKUP($A57,'Wikia | Gehege'!$A:$AL,27,FALSE)=1,VLOOKUP($A57,'Wikia | Gehege'!$A:$AL,18,FALSE),VLOOKUP($A57,'Wikia | Gehege'!$A:$AL,18,FALSE)+VLOOKUP($A57,'Wikia | Gehege'!$A:$AL,27,FALSE)*($G57)-1*$G57),0)</f>
        <v>0</v>
      </c>
      <c r="P57" s="36">
        <f>IFERROR(IF(VLOOKUP($A57,'Wikia | Gehege'!$A:$AL,27,FALSE)=1,VLOOKUP($A57,'Wikia | Gehege'!$A:$AL,19,FALSE),VLOOKUP($A57,'Wikia | Gehege'!$A:$AL,19,FALSE)+VLOOKUP($A57,'Wikia | Gehege'!$A:$AL,27,FALSE)*($H57)-1*$H57),0)</f>
        <v>1053</v>
      </c>
      <c r="Q57" s="37">
        <f>IFERROR(IF(VLOOKUP($A57,'Wikia | Gehege'!$A:$AL,27,FALSE)=1,VLOOKUP($A57,'Wikia | Gehege'!$A:$AL,20,FALSE),VLOOKUP($A57,'Wikia | Gehege'!$A:$AL,20,FALSE)+VLOOKUP($A57,'Wikia | Gehege'!$A:$AL,27,FALSE)*($I57)-1*$I57),0)</f>
        <v>0</v>
      </c>
      <c r="R57" s="87"/>
      <c r="S57" s="94"/>
      <c r="T57" s="38">
        <f>IFERROR(VLOOKUP($A57,'Wikia | Gehege'!$A:$AL,17,FALSE)+(($S57-1)*$F57),0)</f>
        <v>678</v>
      </c>
      <c r="U57" s="38">
        <f>IFERROR(VLOOKUP($A57,'Wikia | Gehege'!$A:$AL,18,FALSE)+(($S57-1)*$G57),0)</f>
        <v>0</v>
      </c>
      <c r="V57" s="38">
        <f>IFERROR(VLOOKUP($A57,'Wikia | Gehege'!$A:$AL,19,FALSE)+(($S57-1)*$H57),0)</f>
        <v>33</v>
      </c>
      <c r="W57" s="85">
        <f>IFERROR(VLOOKUP($A57,'Wikia | Gehege'!$A:$AL,20,FALSE)+(($S57-1)*$I57),0)</f>
        <v>0</v>
      </c>
      <c r="X57" s="87"/>
    </row>
    <row r="58" spans="1:24" ht="35.1" customHeight="1" x14ac:dyDescent="0.2">
      <c r="A58" s="140" t="str">
        <f>'Wikia | Gehege'!A58</f>
        <v xml:space="preserve">Isabellbär </v>
      </c>
      <c r="B58" s="35">
        <v>590</v>
      </c>
      <c r="C58" s="36">
        <v>0</v>
      </c>
      <c r="D58" s="36">
        <v>0</v>
      </c>
      <c r="E58" s="37">
        <v>0</v>
      </c>
      <c r="F58" s="35">
        <f>IFERROR(B58-VLOOKUP($A58,'Wikia | Gehege'!$A:$AL,17,FALSE),0)</f>
        <v>40</v>
      </c>
      <c r="G58" s="36">
        <f>IFERROR(C58-VLOOKUP($A58,'Wikia | Gehege'!$A:$AL,18,FALSE),0)</f>
        <v>0</v>
      </c>
      <c r="H58" s="36">
        <f>IFERROR(D58-VLOOKUP($A58,'Wikia | Gehege'!$A:$AL,19,FALSE),0)</f>
        <v>0</v>
      </c>
      <c r="I58" s="37">
        <f>IFERROR(E58-VLOOKUP($A58,'Wikia | Gehege'!$A:$AL,20,FALSE),0)</f>
        <v>0</v>
      </c>
      <c r="J58" s="35">
        <f>IFERROR(IF(VLOOKUP($A58,'Wikia | Gehege'!$A:$AL,26,FALSE)=1,VLOOKUP($A58,'Wikia | Gehege'!$A:$AL,17,FALSE),VLOOKUP($A58,'Wikia | Gehege'!$A:$AL,17,FALSE)+VLOOKUP($A58,'Wikia | Gehege'!$A:$AL,26,FALSE)*($F58)-1*$F58),0)</f>
        <v>550</v>
      </c>
      <c r="K58" s="36">
        <f>IFERROR(IF(VLOOKUP($A58,'Wikia | Gehege'!$A:$AL,26,FALSE)=1,VLOOKUP($A58,'Wikia | Gehege'!$A:$AL,18,FALSE),VLOOKUP($A58,'Wikia | Gehege'!$A:$AL,18,FALSE)+VLOOKUP($A58,'Wikia | Gehege'!$A:$AL,26,FALSE)*($G58)-1*$G58),0)</f>
        <v>0</v>
      </c>
      <c r="L58" s="36">
        <f>IFERROR(IF(VLOOKUP($A58,'Wikia | Gehege'!$A:$AL,26,FALSE)=1,VLOOKUP($A58,'Wikia | Gehege'!$A:$AL,19,FALSE),VLOOKUP($A58,'Wikia | Gehege'!$A:$AL,19,FALSE)+VLOOKUP($A58,'Wikia | Gehege'!$A:$AL,26,FALSE)*($H58)-1*$H58),0)</f>
        <v>0</v>
      </c>
      <c r="M58" s="37">
        <f>IFERROR(IF(VLOOKUP($A58,'Wikia | Gehege'!$A:$AL,26,FALSE)=1,VLOOKUP($A58,'Wikia | Gehege'!$A:$AL,20,FALSE),VLOOKUP($A58,'Wikia | Gehege'!$A:$AL,20,FALSE)+VLOOKUP($A58,'Wikia | Gehege'!$A:$AL,26,FALSE)*($I58)-1*$I58),0)</f>
        <v>0</v>
      </c>
      <c r="N58" s="35">
        <f>IFERROR(IF(VLOOKUP($A58,'Wikia | Gehege'!$A:$AL,27,FALSE)=1,VLOOKUP($A58,'Wikia | Gehege'!$A:$AL,17,FALSE),VLOOKUP($A58,'Wikia | Gehege'!$A:$AL,17,FALSE)+VLOOKUP($A58,'Wikia | Gehege'!$A:$AL,27,FALSE)*($F58)-1*$F58),0)</f>
        <v>590</v>
      </c>
      <c r="O58" s="36">
        <f>IFERROR(IF(VLOOKUP($A58,'Wikia | Gehege'!$A:$AL,27,FALSE)=1,VLOOKUP($A58,'Wikia | Gehege'!$A:$AL,18,FALSE),VLOOKUP($A58,'Wikia | Gehege'!$A:$AL,18,FALSE)+VLOOKUP($A58,'Wikia | Gehege'!$A:$AL,27,FALSE)*($G58)-1*$G58),0)</f>
        <v>0</v>
      </c>
      <c r="P58" s="36">
        <f>IFERROR(IF(VLOOKUP($A58,'Wikia | Gehege'!$A:$AL,27,FALSE)=1,VLOOKUP($A58,'Wikia | Gehege'!$A:$AL,19,FALSE),VLOOKUP($A58,'Wikia | Gehege'!$A:$AL,19,FALSE)+VLOOKUP($A58,'Wikia | Gehege'!$A:$AL,27,FALSE)*($H58)-1*$H58),0)</f>
        <v>0</v>
      </c>
      <c r="Q58" s="37">
        <f>IFERROR(IF(VLOOKUP($A58,'Wikia | Gehege'!$A:$AL,27,FALSE)=1,VLOOKUP($A58,'Wikia | Gehege'!$A:$AL,20,FALSE),VLOOKUP($A58,'Wikia | Gehege'!$A:$AL,20,FALSE)+VLOOKUP($A58,'Wikia | Gehege'!$A:$AL,27,FALSE)*($I58)-1*$I58),0)</f>
        <v>0</v>
      </c>
      <c r="R58" s="87"/>
      <c r="S58" s="94"/>
      <c r="T58" s="38">
        <f>IFERROR(VLOOKUP($A58,'Wikia | Gehege'!$A:$AL,17,FALSE)+(($S58-1)*$F58),0)</f>
        <v>510</v>
      </c>
      <c r="U58" s="38">
        <f>IFERROR(VLOOKUP($A58,'Wikia | Gehege'!$A:$AL,18,FALSE)+(($S58-1)*$G58),0)</f>
        <v>0</v>
      </c>
      <c r="V58" s="38">
        <f>IFERROR(VLOOKUP($A58,'Wikia | Gehege'!$A:$AL,19,FALSE)+(($S58-1)*$H58),0)</f>
        <v>0</v>
      </c>
      <c r="W58" s="85">
        <f>IFERROR(VLOOKUP($A58,'Wikia | Gehege'!$A:$AL,20,FALSE)+(($S58-1)*$I58),0)</f>
        <v>0</v>
      </c>
      <c r="X58" s="87"/>
    </row>
    <row r="59" spans="1:24" ht="35.1" customHeight="1" x14ac:dyDescent="0.2">
      <c r="A59" s="140" t="str">
        <f>'Wikia | Gehege'!A59</f>
        <v>Jaguar</v>
      </c>
      <c r="B59" s="35">
        <v>779</v>
      </c>
      <c r="C59" s="36">
        <v>92</v>
      </c>
      <c r="D59" s="36">
        <v>56</v>
      </c>
      <c r="E59" s="37">
        <v>0</v>
      </c>
      <c r="F59" s="35">
        <f>IFERROR(B59-VLOOKUP($A59,'Wikia | Gehege'!$A:$AL,17,FALSE),0)</f>
        <v>111</v>
      </c>
      <c r="G59" s="36">
        <f>IFERROR(C59-VLOOKUP($A59,'Wikia | Gehege'!$A:$AL,18,FALSE),0)</f>
        <v>12</v>
      </c>
      <c r="H59" s="36">
        <f>IFERROR(D59-VLOOKUP($A59,'Wikia | Gehege'!$A:$AL,19,FALSE),0)</f>
        <v>19</v>
      </c>
      <c r="I59" s="37">
        <f>IFERROR(E59-VLOOKUP($A59,'Wikia | Gehege'!$A:$AL,20,FALSE),0)</f>
        <v>0</v>
      </c>
      <c r="J59" s="35">
        <f>IFERROR(IF(VLOOKUP($A59,'Wikia | Gehege'!$A:$AL,26,FALSE)=1,VLOOKUP($A59,'Wikia | Gehege'!$A:$AL,17,FALSE),VLOOKUP($A59,'Wikia | Gehege'!$A:$AL,17,FALSE)+VLOOKUP($A59,'Wikia | Gehege'!$A:$AL,26,FALSE)*($F59)-1*$F59),0)</f>
        <v>668</v>
      </c>
      <c r="K59" s="36">
        <f>IFERROR(IF(VLOOKUP($A59,'Wikia | Gehege'!$A:$AL,26,FALSE)=1,VLOOKUP($A59,'Wikia | Gehege'!$A:$AL,18,FALSE),VLOOKUP($A59,'Wikia | Gehege'!$A:$AL,18,FALSE)+VLOOKUP($A59,'Wikia | Gehege'!$A:$AL,26,FALSE)*($G59)-1*$G59),0)</f>
        <v>80</v>
      </c>
      <c r="L59" s="36">
        <f>IFERROR(IF(VLOOKUP($A59,'Wikia | Gehege'!$A:$AL,26,FALSE)=1,VLOOKUP($A59,'Wikia | Gehege'!$A:$AL,19,FALSE),VLOOKUP($A59,'Wikia | Gehege'!$A:$AL,19,FALSE)+VLOOKUP($A59,'Wikia | Gehege'!$A:$AL,26,FALSE)*($H59)-1*$H59),0)</f>
        <v>37</v>
      </c>
      <c r="M59" s="37">
        <f>IFERROR(IF(VLOOKUP($A59,'Wikia | Gehege'!$A:$AL,26,FALSE)=1,VLOOKUP($A59,'Wikia | Gehege'!$A:$AL,20,FALSE),VLOOKUP($A59,'Wikia | Gehege'!$A:$AL,20,FALSE)+VLOOKUP($A59,'Wikia | Gehege'!$A:$AL,26,FALSE)*($I59)-1*$I59),0)</f>
        <v>0</v>
      </c>
      <c r="N59" s="35">
        <f>IFERROR(IF(VLOOKUP($A59,'Wikia | Gehege'!$A:$AL,27,FALSE)=1,VLOOKUP($A59,'Wikia | Gehege'!$A:$AL,17,FALSE),VLOOKUP($A59,'Wikia | Gehege'!$A:$AL,17,FALSE)+VLOOKUP($A59,'Wikia | Gehege'!$A:$AL,27,FALSE)*($F59)-1*$F59),0)</f>
        <v>779</v>
      </c>
      <c r="O59" s="36">
        <f>IFERROR(IF(VLOOKUP($A59,'Wikia | Gehege'!$A:$AL,27,FALSE)=1,VLOOKUP($A59,'Wikia | Gehege'!$A:$AL,18,FALSE),VLOOKUP($A59,'Wikia | Gehege'!$A:$AL,18,FALSE)+VLOOKUP($A59,'Wikia | Gehege'!$A:$AL,27,FALSE)*($G59)-1*$G59),0)</f>
        <v>92</v>
      </c>
      <c r="P59" s="36">
        <f>IFERROR(IF(VLOOKUP($A59,'Wikia | Gehege'!$A:$AL,27,FALSE)=1,VLOOKUP($A59,'Wikia | Gehege'!$A:$AL,19,FALSE),VLOOKUP($A59,'Wikia | Gehege'!$A:$AL,19,FALSE)+VLOOKUP($A59,'Wikia | Gehege'!$A:$AL,27,FALSE)*($H59)-1*$H59),0)</f>
        <v>56</v>
      </c>
      <c r="Q59" s="37">
        <f>IFERROR(IF(VLOOKUP($A59,'Wikia | Gehege'!$A:$AL,27,FALSE)=1,VLOOKUP($A59,'Wikia | Gehege'!$A:$AL,20,FALSE),VLOOKUP($A59,'Wikia | Gehege'!$A:$AL,20,FALSE)+VLOOKUP($A59,'Wikia | Gehege'!$A:$AL,27,FALSE)*($I59)-1*$I59),0)</f>
        <v>0</v>
      </c>
      <c r="R59" s="87"/>
      <c r="S59" s="94"/>
      <c r="T59" s="38">
        <f>IFERROR(VLOOKUP($A59,'Wikia | Gehege'!$A:$AL,17,FALSE)+(($S59-1)*$F59),0)</f>
        <v>557</v>
      </c>
      <c r="U59" s="38">
        <f>IFERROR(VLOOKUP($A59,'Wikia | Gehege'!$A:$AL,18,FALSE)+(($S59-1)*$G59),0)</f>
        <v>68</v>
      </c>
      <c r="V59" s="38">
        <f>IFERROR(VLOOKUP($A59,'Wikia | Gehege'!$A:$AL,19,FALSE)+(($S59-1)*$H59),0)</f>
        <v>18</v>
      </c>
      <c r="W59" s="85">
        <f>IFERROR(VLOOKUP($A59,'Wikia | Gehege'!$A:$AL,20,FALSE)+(($S59-1)*$I59),0)</f>
        <v>0</v>
      </c>
      <c r="X59" s="87"/>
    </row>
    <row r="60" spans="1:24" ht="35.1" customHeight="1" x14ac:dyDescent="0.2">
      <c r="A60" s="140" t="str">
        <f>'Wikia | Gehege'!A60</f>
        <v xml:space="preserve">Japanmakak </v>
      </c>
      <c r="B60" s="35">
        <v>306</v>
      </c>
      <c r="C60" s="36">
        <v>28</v>
      </c>
      <c r="D60" s="36">
        <v>0</v>
      </c>
      <c r="E60" s="37">
        <v>0</v>
      </c>
      <c r="F60" s="35">
        <f>IFERROR(B60-VLOOKUP($A60,'Wikia | Gehege'!$A:$AL,17,FALSE),0)</f>
        <v>6</v>
      </c>
      <c r="G60" s="36">
        <f>IFERROR(C60-VLOOKUP($A60,'Wikia | Gehege'!$A:$AL,18,FALSE),0)</f>
        <v>8</v>
      </c>
      <c r="H60" s="36">
        <f>IFERROR(D60-VLOOKUP($A60,'Wikia | Gehege'!$A:$AL,19,FALSE),0)</f>
        <v>0</v>
      </c>
      <c r="I60" s="37">
        <f>IFERROR(E60-VLOOKUP($A60,'Wikia | Gehege'!$A:$AL,20,FALSE),0)</f>
        <v>0</v>
      </c>
      <c r="J60" s="35">
        <f>IFERROR(IF(VLOOKUP($A60,'Wikia | Gehege'!$A:$AL,26,FALSE)=1,VLOOKUP($A60,'Wikia | Gehege'!$A:$AL,17,FALSE),VLOOKUP($A60,'Wikia | Gehege'!$A:$AL,17,FALSE)+VLOOKUP($A60,'Wikia | Gehege'!$A:$AL,26,FALSE)*($F60)-1*$F60),0)</f>
        <v>342</v>
      </c>
      <c r="K60" s="36">
        <f>IFERROR(IF(VLOOKUP($A60,'Wikia | Gehege'!$A:$AL,26,FALSE)=1,VLOOKUP($A60,'Wikia | Gehege'!$A:$AL,18,FALSE),VLOOKUP($A60,'Wikia | Gehege'!$A:$AL,18,FALSE)+VLOOKUP($A60,'Wikia | Gehege'!$A:$AL,26,FALSE)*($G60)-1*$G60),0)</f>
        <v>76</v>
      </c>
      <c r="L60" s="36">
        <f>IFERROR(IF(VLOOKUP($A60,'Wikia | Gehege'!$A:$AL,26,FALSE)=1,VLOOKUP($A60,'Wikia | Gehege'!$A:$AL,19,FALSE),VLOOKUP($A60,'Wikia | Gehege'!$A:$AL,19,FALSE)+VLOOKUP($A60,'Wikia | Gehege'!$A:$AL,26,FALSE)*($H60)-1*$H60),0)</f>
        <v>0</v>
      </c>
      <c r="M60" s="37">
        <f>IFERROR(IF(VLOOKUP($A60,'Wikia | Gehege'!$A:$AL,26,FALSE)=1,VLOOKUP($A60,'Wikia | Gehege'!$A:$AL,20,FALSE),VLOOKUP($A60,'Wikia | Gehege'!$A:$AL,20,FALSE)+VLOOKUP($A60,'Wikia | Gehege'!$A:$AL,26,FALSE)*($I60)-1*$I60),0)</f>
        <v>0</v>
      </c>
      <c r="N60" s="35">
        <f>IFERROR(IF(VLOOKUP($A60,'Wikia | Gehege'!$A:$AL,27,FALSE)=1,VLOOKUP($A60,'Wikia | Gehege'!$A:$AL,17,FALSE),VLOOKUP($A60,'Wikia | Gehege'!$A:$AL,17,FALSE)+VLOOKUP($A60,'Wikia | Gehege'!$A:$AL,27,FALSE)*($F60)-1*$F60),0)</f>
        <v>594</v>
      </c>
      <c r="O60" s="36">
        <f>IFERROR(IF(VLOOKUP($A60,'Wikia | Gehege'!$A:$AL,27,FALSE)=1,VLOOKUP($A60,'Wikia | Gehege'!$A:$AL,18,FALSE),VLOOKUP($A60,'Wikia | Gehege'!$A:$AL,18,FALSE)+VLOOKUP($A60,'Wikia | Gehege'!$A:$AL,27,FALSE)*($G60)-1*$G60),0)</f>
        <v>412</v>
      </c>
      <c r="P60" s="36">
        <f>IFERROR(IF(VLOOKUP($A60,'Wikia | Gehege'!$A:$AL,27,FALSE)=1,VLOOKUP($A60,'Wikia | Gehege'!$A:$AL,19,FALSE),VLOOKUP($A60,'Wikia | Gehege'!$A:$AL,19,FALSE)+VLOOKUP($A60,'Wikia | Gehege'!$A:$AL,27,FALSE)*($H60)-1*$H60),0)</f>
        <v>0</v>
      </c>
      <c r="Q60" s="37">
        <f>IFERROR(IF(VLOOKUP($A60,'Wikia | Gehege'!$A:$AL,27,FALSE)=1,VLOOKUP($A60,'Wikia | Gehege'!$A:$AL,20,FALSE),VLOOKUP($A60,'Wikia | Gehege'!$A:$AL,20,FALSE)+VLOOKUP($A60,'Wikia | Gehege'!$A:$AL,27,FALSE)*($I60)-1*$I60),0)</f>
        <v>0</v>
      </c>
      <c r="R60" s="87"/>
      <c r="S60" s="94"/>
      <c r="T60" s="38">
        <f>IFERROR(VLOOKUP($A60,'Wikia | Gehege'!$A:$AL,17,FALSE)+(($S60-1)*$F60),0)</f>
        <v>294</v>
      </c>
      <c r="U60" s="38">
        <f>IFERROR(VLOOKUP($A60,'Wikia | Gehege'!$A:$AL,18,FALSE)+(($S60-1)*$G60),0)</f>
        <v>12</v>
      </c>
      <c r="V60" s="38">
        <f>IFERROR(VLOOKUP($A60,'Wikia | Gehege'!$A:$AL,19,FALSE)+(($S60-1)*$H60),0)</f>
        <v>0</v>
      </c>
      <c r="W60" s="85">
        <f>IFERROR(VLOOKUP($A60,'Wikia | Gehege'!$A:$AL,20,FALSE)+(($S60-1)*$I60),0)</f>
        <v>0</v>
      </c>
      <c r="X60" s="87"/>
    </row>
    <row r="61" spans="1:24" ht="35.1" customHeight="1" x14ac:dyDescent="0.2">
      <c r="A61" s="140" t="str">
        <f>'Wikia | Gehege'!A61</f>
        <v xml:space="preserve">Kaffernbüffel </v>
      </c>
      <c r="B61" s="35">
        <v>510</v>
      </c>
      <c r="C61" s="36">
        <v>0</v>
      </c>
      <c r="D61" s="36">
        <v>30</v>
      </c>
      <c r="E61" s="37">
        <v>0</v>
      </c>
      <c r="F61" s="35">
        <f>IFERROR(B61-VLOOKUP($A61,'Wikia | Gehege'!$A:$AL,17,FALSE),0)</f>
        <v>90</v>
      </c>
      <c r="G61" s="36">
        <f>IFERROR(C61-VLOOKUP($A61,'Wikia | Gehege'!$A:$AL,18,FALSE),0)</f>
        <v>0</v>
      </c>
      <c r="H61" s="36">
        <f>IFERROR(D61-VLOOKUP($A61,'Wikia | Gehege'!$A:$AL,19,FALSE),0)</f>
        <v>10</v>
      </c>
      <c r="I61" s="37">
        <f>IFERROR(E61-VLOOKUP($A61,'Wikia | Gehege'!$A:$AL,20,FALSE),0)</f>
        <v>0</v>
      </c>
      <c r="J61" s="35">
        <f>IFERROR(IF(VLOOKUP($A61,'Wikia | Gehege'!$A:$AL,26,FALSE)=1,VLOOKUP($A61,'Wikia | Gehege'!$A:$AL,17,FALSE),VLOOKUP($A61,'Wikia | Gehege'!$A:$AL,17,FALSE)+VLOOKUP($A61,'Wikia | Gehege'!$A:$AL,26,FALSE)*($F61)-1*$F61),0)</f>
        <v>600</v>
      </c>
      <c r="K61" s="36">
        <f>IFERROR(IF(VLOOKUP($A61,'Wikia | Gehege'!$A:$AL,26,FALSE)=1,VLOOKUP($A61,'Wikia | Gehege'!$A:$AL,18,FALSE),VLOOKUP($A61,'Wikia | Gehege'!$A:$AL,18,FALSE)+VLOOKUP($A61,'Wikia | Gehege'!$A:$AL,26,FALSE)*($G61)-1*$G61),0)</f>
        <v>0</v>
      </c>
      <c r="L61" s="36">
        <f>IFERROR(IF(VLOOKUP($A61,'Wikia | Gehege'!$A:$AL,26,FALSE)=1,VLOOKUP($A61,'Wikia | Gehege'!$A:$AL,19,FALSE),VLOOKUP($A61,'Wikia | Gehege'!$A:$AL,19,FALSE)+VLOOKUP($A61,'Wikia | Gehege'!$A:$AL,26,FALSE)*($H61)-1*$H61),0)</f>
        <v>40</v>
      </c>
      <c r="M61" s="37">
        <f>IFERROR(IF(VLOOKUP($A61,'Wikia | Gehege'!$A:$AL,26,FALSE)=1,VLOOKUP($A61,'Wikia | Gehege'!$A:$AL,20,FALSE),VLOOKUP($A61,'Wikia | Gehege'!$A:$AL,20,FALSE)+VLOOKUP($A61,'Wikia | Gehege'!$A:$AL,26,FALSE)*($I61)-1*$I61),0)</f>
        <v>0</v>
      </c>
      <c r="N61" s="35">
        <f>IFERROR(IF(VLOOKUP($A61,'Wikia | Gehege'!$A:$AL,27,FALSE)=1,VLOOKUP($A61,'Wikia | Gehege'!$A:$AL,17,FALSE),VLOOKUP($A61,'Wikia | Gehege'!$A:$AL,17,FALSE)+VLOOKUP($A61,'Wikia | Gehege'!$A:$AL,27,FALSE)*($F61)-1*$F61),0)</f>
        <v>1680</v>
      </c>
      <c r="O61" s="36">
        <f>IFERROR(IF(VLOOKUP($A61,'Wikia | Gehege'!$A:$AL,27,FALSE)=1,VLOOKUP($A61,'Wikia | Gehege'!$A:$AL,18,FALSE),VLOOKUP($A61,'Wikia | Gehege'!$A:$AL,18,FALSE)+VLOOKUP($A61,'Wikia | Gehege'!$A:$AL,27,FALSE)*($G61)-1*$G61),0)</f>
        <v>0</v>
      </c>
      <c r="P61" s="36">
        <f>IFERROR(IF(VLOOKUP($A61,'Wikia | Gehege'!$A:$AL,27,FALSE)=1,VLOOKUP($A61,'Wikia | Gehege'!$A:$AL,19,FALSE),VLOOKUP($A61,'Wikia | Gehege'!$A:$AL,19,FALSE)+VLOOKUP($A61,'Wikia | Gehege'!$A:$AL,27,FALSE)*($H61)-1*$H61),0)</f>
        <v>160</v>
      </c>
      <c r="Q61" s="37">
        <f>IFERROR(IF(VLOOKUP($A61,'Wikia | Gehege'!$A:$AL,27,FALSE)=1,VLOOKUP($A61,'Wikia | Gehege'!$A:$AL,20,FALSE),VLOOKUP($A61,'Wikia | Gehege'!$A:$AL,20,FALSE)+VLOOKUP($A61,'Wikia | Gehege'!$A:$AL,27,FALSE)*($I61)-1*$I61),0)</f>
        <v>0</v>
      </c>
      <c r="R61" s="87"/>
      <c r="S61" s="94"/>
      <c r="T61" s="38">
        <f>IFERROR(VLOOKUP($A61,'Wikia | Gehege'!$A:$AL,17,FALSE)+(($S61-1)*$F61),0)</f>
        <v>330</v>
      </c>
      <c r="U61" s="38">
        <f>IFERROR(VLOOKUP($A61,'Wikia | Gehege'!$A:$AL,18,FALSE)+(($S61-1)*$G61),0)</f>
        <v>0</v>
      </c>
      <c r="V61" s="38">
        <f>IFERROR(VLOOKUP($A61,'Wikia | Gehege'!$A:$AL,19,FALSE)+(($S61-1)*$H61),0)</f>
        <v>10</v>
      </c>
      <c r="W61" s="85">
        <f>IFERROR(VLOOKUP($A61,'Wikia | Gehege'!$A:$AL,20,FALSE)+(($S61-1)*$I61),0)</f>
        <v>0</v>
      </c>
      <c r="X61" s="87"/>
    </row>
    <row r="62" spans="1:24" ht="35.1" customHeight="1" x14ac:dyDescent="0.2">
      <c r="A62" s="140" t="str">
        <f>'Wikia | Gehege'!A62</f>
        <v>Kalifornischer Seelöwe</v>
      </c>
      <c r="B62" s="35">
        <v>218</v>
      </c>
      <c r="C62" s="36">
        <v>0</v>
      </c>
      <c r="D62" s="36">
        <v>406</v>
      </c>
      <c r="E62" s="37">
        <v>195</v>
      </c>
      <c r="F62" s="35">
        <f>IFERROR(B62-VLOOKUP($A62,'Wikia | Gehege'!$A:$AL,17,FALSE),0)</f>
        <v>18</v>
      </c>
      <c r="G62" s="36">
        <f>IFERROR(C62-VLOOKUP($A62,'Wikia | Gehege'!$A:$AL,18,FALSE),0)</f>
        <v>0</v>
      </c>
      <c r="H62" s="36">
        <f>IFERROR(D62-VLOOKUP($A62,'Wikia | Gehege'!$A:$AL,19,FALSE),0)</f>
        <v>46</v>
      </c>
      <c r="I62" s="37">
        <f>IFERROR(E62-VLOOKUP($A62,'Wikia | Gehege'!$A:$AL,20,FALSE),0)</f>
        <v>25</v>
      </c>
      <c r="J62" s="35">
        <f>IFERROR(IF(VLOOKUP($A62,'Wikia | Gehege'!$A:$AL,26,FALSE)=1,VLOOKUP($A62,'Wikia | Gehege'!$A:$AL,17,FALSE),VLOOKUP($A62,'Wikia | Gehege'!$A:$AL,17,FALSE)+VLOOKUP($A62,'Wikia | Gehege'!$A:$AL,26,FALSE)*($F62)-1*$F62),0)</f>
        <v>236</v>
      </c>
      <c r="K62" s="36">
        <f>IFERROR(IF(VLOOKUP($A62,'Wikia | Gehege'!$A:$AL,26,FALSE)=1,VLOOKUP($A62,'Wikia | Gehege'!$A:$AL,18,FALSE),VLOOKUP($A62,'Wikia | Gehege'!$A:$AL,18,FALSE)+VLOOKUP($A62,'Wikia | Gehege'!$A:$AL,26,FALSE)*($G62)-1*$G62),0)</f>
        <v>0</v>
      </c>
      <c r="L62" s="36">
        <f>IFERROR(IF(VLOOKUP($A62,'Wikia | Gehege'!$A:$AL,26,FALSE)=1,VLOOKUP($A62,'Wikia | Gehege'!$A:$AL,19,FALSE),VLOOKUP($A62,'Wikia | Gehege'!$A:$AL,19,FALSE)+VLOOKUP($A62,'Wikia | Gehege'!$A:$AL,26,FALSE)*($H62)-1*$H62),0)</f>
        <v>452</v>
      </c>
      <c r="M62" s="37">
        <f>IFERROR(IF(VLOOKUP($A62,'Wikia | Gehege'!$A:$AL,26,FALSE)=1,VLOOKUP($A62,'Wikia | Gehege'!$A:$AL,20,FALSE),VLOOKUP($A62,'Wikia | Gehege'!$A:$AL,20,FALSE)+VLOOKUP($A62,'Wikia | Gehege'!$A:$AL,26,FALSE)*($I62)-1*$I62),0)</f>
        <v>220</v>
      </c>
      <c r="N62" s="35">
        <f>IFERROR(IF(VLOOKUP($A62,'Wikia | Gehege'!$A:$AL,27,FALSE)=1,VLOOKUP($A62,'Wikia | Gehege'!$A:$AL,17,FALSE),VLOOKUP($A62,'Wikia | Gehege'!$A:$AL,17,FALSE)+VLOOKUP($A62,'Wikia | Gehege'!$A:$AL,27,FALSE)*($F62)-1*$F62),0)</f>
        <v>452</v>
      </c>
      <c r="O62" s="36">
        <f>IFERROR(IF(VLOOKUP($A62,'Wikia | Gehege'!$A:$AL,27,FALSE)=1,VLOOKUP($A62,'Wikia | Gehege'!$A:$AL,18,FALSE),VLOOKUP($A62,'Wikia | Gehege'!$A:$AL,18,FALSE)+VLOOKUP($A62,'Wikia | Gehege'!$A:$AL,27,FALSE)*($G62)-1*$G62),0)</f>
        <v>0</v>
      </c>
      <c r="P62" s="36">
        <f>IFERROR(IF(VLOOKUP($A62,'Wikia | Gehege'!$A:$AL,27,FALSE)=1,VLOOKUP($A62,'Wikia | Gehege'!$A:$AL,19,FALSE),VLOOKUP($A62,'Wikia | Gehege'!$A:$AL,19,FALSE)+VLOOKUP($A62,'Wikia | Gehege'!$A:$AL,27,FALSE)*($H62)-1*$H62),0)</f>
        <v>1004</v>
      </c>
      <c r="Q62" s="37">
        <f>IFERROR(IF(VLOOKUP($A62,'Wikia | Gehege'!$A:$AL,27,FALSE)=1,VLOOKUP($A62,'Wikia | Gehege'!$A:$AL,20,FALSE),VLOOKUP($A62,'Wikia | Gehege'!$A:$AL,20,FALSE)+VLOOKUP($A62,'Wikia | Gehege'!$A:$AL,27,FALSE)*($I62)-1*$I62),0)</f>
        <v>520</v>
      </c>
      <c r="R62" s="87"/>
      <c r="S62" s="94"/>
      <c r="T62" s="38">
        <f>IFERROR(VLOOKUP($A62,'Wikia | Gehege'!$A:$AL,17,FALSE)+(($S62-1)*$F62),0)</f>
        <v>182</v>
      </c>
      <c r="U62" s="38">
        <f>IFERROR(VLOOKUP($A62,'Wikia | Gehege'!$A:$AL,18,FALSE)+(($S62-1)*$G62),0)</f>
        <v>0</v>
      </c>
      <c r="V62" s="38">
        <f>IFERROR(VLOOKUP($A62,'Wikia | Gehege'!$A:$AL,19,FALSE)+(($S62-1)*$H62),0)</f>
        <v>314</v>
      </c>
      <c r="W62" s="85">
        <f>IFERROR(VLOOKUP($A62,'Wikia | Gehege'!$A:$AL,20,FALSE)+(($S62-1)*$I62),0)</f>
        <v>145</v>
      </c>
      <c r="X62" s="87"/>
    </row>
    <row r="63" spans="1:24" ht="35.1" customHeight="1" x14ac:dyDescent="0.2">
      <c r="A63" s="140" t="str">
        <f>'Wikia | Gehege'!A63</f>
        <v>Karakal</v>
      </c>
      <c r="B63" s="35">
        <v>645</v>
      </c>
      <c r="C63" s="36">
        <v>135</v>
      </c>
      <c r="D63" s="36">
        <v>0</v>
      </c>
      <c r="E63" s="37">
        <v>0</v>
      </c>
      <c r="F63" s="35">
        <f>IFERROR(B63-VLOOKUP($A63,'Wikia | Gehege'!$A:$AL,17,FALSE),0)</f>
        <v>111</v>
      </c>
      <c r="G63" s="36">
        <f>IFERROR(C63-VLOOKUP($A63,'Wikia | Gehege'!$A:$AL,18,FALSE),0)</f>
        <v>54</v>
      </c>
      <c r="H63" s="36">
        <f>IFERROR(D63-VLOOKUP($A63,'Wikia | Gehege'!$A:$AL,19,FALSE),0)</f>
        <v>0</v>
      </c>
      <c r="I63" s="37">
        <f>IFERROR(E63-VLOOKUP($A63,'Wikia | Gehege'!$A:$AL,20,FALSE),0)</f>
        <v>0</v>
      </c>
      <c r="J63" s="35">
        <f>IFERROR(IF(VLOOKUP($A63,'Wikia | Gehege'!$A:$AL,26,FALSE)=1,VLOOKUP($A63,'Wikia | Gehege'!$A:$AL,17,FALSE),VLOOKUP($A63,'Wikia | Gehege'!$A:$AL,17,FALSE)+VLOOKUP($A63,'Wikia | Gehege'!$A:$AL,26,FALSE)*($F63)-1*$F63),0)</f>
        <v>534</v>
      </c>
      <c r="K63" s="36">
        <f>IFERROR(IF(VLOOKUP($A63,'Wikia | Gehege'!$A:$AL,26,FALSE)=1,VLOOKUP($A63,'Wikia | Gehege'!$A:$AL,18,FALSE),VLOOKUP($A63,'Wikia | Gehege'!$A:$AL,18,FALSE)+VLOOKUP($A63,'Wikia | Gehege'!$A:$AL,26,FALSE)*($G63)-1*$G63),0)</f>
        <v>81</v>
      </c>
      <c r="L63" s="36">
        <f>IFERROR(IF(VLOOKUP($A63,'Wikia | Gehege'!$A:$AL,26,FALSE)=1,VLOOKUP($A63,'Wikia | Gehege'!$A:$AL,19,FALSE),VLOOKUP($A63,'Wikia | Gehege'!$A:$AL,19,FALSE)+VLOOKUP($A63,'Wikia | Gehege'!$A:$AL,26,FALSE)*($H63)-1*$H63),0)</f>
        <v>0</v>
      </c>
      <c r="M63" s="37">
        <f>IFERROR(IF(VLOOKUP($A63,'Wikia | Gehege'!$A:$AL,26,FALSE)=1,VLOOKUP($A63,'Wikia | Gehege'!$A:$AL,20,FALSE),VLOOKUP($A63,'Wikia | Gehege'!$A:$AL,20,FALSE)+VLOOKUP($A63,'Wikia | Gehege'!$A:$AL,26,FALSE)*($I63)-1*$I63),0)</f>
        <v>0</v>
      </c>
      <c r="N63" s="35">
        <f>IFERROR(IF(VLOOKUP($A63,'Wikia | Gehege'!$A:$AL,27,FALSE)=1,VLOOKUP($A63,'Wikia | Gehege'!$A:$AL,17,FALSE),VLOOKUP($A63,'Wikia | Gehege'!$A:$AL,17,FALSE)+VLOOKUP($A63,'Wikia | Gehege'!$A:$AL,27,FALSE)*($F63)-1*$F63),0)</f>
        <v>645</v>
      </c>
      <c r="O63" s="36">
        <f>IFERROR(IF(VLOOKUP($A63,'Wikia | Gehege'!$A:$AL,27,FALSE)=1,VLOOKUP($A63,'Wikia | Gehege'!$A:$AL,18,FALSE),VLOOKUP($A63,'Wikia | Gehege'!$A:$AL,18,FALSE)+VLOOKUP($A63,'Wikia | Gehege'!$A:$AL,27,FALSE)*($G63)-1*$G63),0)</f>
        <v>135</v>
      </c>
      <c r="P63" s="36">
        <f>IFERROR(IF(VLOOKUP($A63,'Wikia | Gehege'!$A:$AL,27,FALSE)=1,VLOOKUP($A63,'Wikia | Gehege'!$A:$AL,19,FALSE),VLOOKUP($A63,'Wikia | Gehege'!$A:$AL,19,FALSE)+VLOOKUP($A63,'Wikia | Gehege'!$A:$AL,27,FALSE)*($H63)-1*$H63),0)</f>
        <v>0</v>
      </c>
      <c r="Q63" s="37">
        <f>IFERROR(IF(VLOOKUP($A63,'Wikia | Gehege'!$A:$AL,27,FALSE)=1,VLOOKUP($A63,'Wikia | Gehege'!$A:$AL,20,FALSE),VLOOKUP($A63,'Wikia | Gehege'!$A:$AL,20,FALSE)+VLOOKUP($A63,'Wikia | Gehege'!$A:$AL,27,FALSE)*($I63)-1*$I63),0)</f>
        <v>0</v>
      </c>
      <c r="R63" s="87"/>
      <c r="S63" s="94"/>
      <c r="T63" s="38">
        <f>IFERROR(VLOOKUP($A63,'Wikia | Gehege'!$A:$AL,17,FALSE)+(($S63-1)*$F63),0)</f>
        <v>423</v>
      </c>
      <c r="U63" s="38">
        <f>IFERROR(VLOOKUP($A63,'Wikia | Gehege'!$A:$AL,18,FALSE)+(($S63-1)*$G63),0)</f>
        <v>27</v>
      </c>
      <c r="V63" s="38">
        <f>IFERROR(VLOOKUP($A63,'Wikia | Gehege'!$A:$AL,19,FALSE)+(($S63-1)*$H63),0)</f>
        <v>0</v>
      </c>
      <c r="W63" s="85">
        <f>IFERROR(VLOOKUP($A63,'Wikia | Gehege'!$A:$AL,20,FALSE)+(($S63-1)*$I63),0)</f>
        <v>0</v>
      </c>
      <c r="X63" s="87"/>
    </row>
    <row r="64" spans="1:24" ht="35.1" customHeight="1" x14ac:dyDescent="0.2">
      <c r="A64" s="140" t="str">
        <f>'Wikia | Gehege'!A64</f>
        <v xml:space="preserve">Katta </v>
      </c>
      <c r="B64" s="35">
        <v>218</v>
      </c>
      <c r="C64" s="36">
        <v>24</v>
      </c>
      <c r="D64" s="36">
        <v>0</v>
      </c>
      <c r="E64" s="37">
        <v>0</v>
      </c>
      <c r="F64" s="35">
        <f>IFERROR(B64-VLOOKUP($A64,'Wikia | Gehege'!$A:$AL,17,FALSE),0)</f>
        <v>8</v>
      </c>
      <c r="G64" s="36">
        <f>IFERROR(C64-VLOOKUP($A64,'Wikia | Gehege'!$A:$AL,18,FALSE),0)</f>
        <v>4</v>
      </c>
      <c r="H64" s="36">
        <f>IFERROR(D64-VLOOKUP($A64,'Wikia | Gehege'!$A:$AL,19,FALSE),0)</f>
        <v>0</v>
      </c>
      <c r="I64" s="37">
        <f>IFERROR(E64-VLOOKUP($A64,'Wikia | Gehege'!$A:$AL,20,FALSE),0)</f>
        <v>0</v>
      </c>
      <c r="J64" s="35">
        <f>IFERROR(IF(VLOOKUP($A64,'Wikia | Gehege'!$A:$AL,26,FALSE)=1,VLOOKUP($A64,'Wikia | Gehege'!$A:$AL,17,FALSE),VLOOKUP($A64,'Wikia | Gehege'!$A:$AL,17,FALSE)+VLOOKUP($A64,'Wikia | Gehege'!$A:$AL,26,FALSE)*($F64)-1*$F64),0)</f>
        <v>226</v>
      </c>
      <c r="K64" s="36">
        <f>IFERROR(IF(VLOOKUP($A64,'Wikia | Gehege'!$A:$AL,26,FALSE)=1,VLOOKUP($A64,'Wikia | Gehege'!$A:$AL,18,FALSE),VLOOKUP($A64,'Wikia | Gehege'!$A:$AL,18,FALSE)+VLOOKUP($A64,'Wikia | Gehege'!$A:$AL,26,FALSE)*($G64)-1*$G64),0)</f>
        <v>28</v>
      </c>
      <c r="L64" s="36">
        <f>IFERROR(IF(VLOOKUP($A64,'Wikia | Gehege'!$A:$AL,26,FALSE)=1,VLOOKUP($A64,'Wikia | Gehege'!$A:$AL,19,FALSE),VLOOKUP($A64,'Wikia | Gehege'!$A:$AL,19,FALSE)+VLOOKUP($A64,'Wikia | Gehege'!$A:$AL,26,FALSE)*($H64)-1*$H64),0)</f>
        <v>0</v>
      </c>
      <c r="M64" s="37">
        <f>IFERROR(IF(VLOOKUP($A64,'Wikia | Gehege'!$A:$AL,26,FALSE)=1,VLOOKUP($A64,'Wikia | Gehege'!$A:$AL,20,FALSE),VLOOKUP($A64,'Wikia | Gehege'!$A:$AL,20,FALSE)+VLOOKUP($A64,'Wikia | Gehege'!$A:$AL,26,FALSE)*($I64)-1*$I64),0)</f>
        <v>0</v>
      </c>
      <c r="N64" s="35">
        <f>IFERROR(IF(VLOOKUP($A64,'Wikia | Gehege'!$A:$AL,27,FALSE)=1,VLOOKUP($A64,'Wikia | Gehege'!$A:$AL,17,FALSE),VLOOKUP($A64,'Wikia | Gehege'!$A:$AL,17,FALSE)+VLOOKUP($A64,'Wikia | Gehege'!$A:$AL,27,FALSE)*($F64)-1*$F64),0)</f>
        <v>442</v>
      </c>
      <c r="O64" s="36">
        <f>IFERROR(IF(VLOOKUP($A64,'Wikia | Gehege'!$A:$AL,27,FALSE)=1,VLOOKUP($A64,'Wikia | Gehege'!$A:$AL,18,FALSE),VLOOKUP($A64,'Wikia | Gehege'!$A:$AL,18,FALSE)+VLOOKUP($A64,'Wikia | Gehege'!$A:$AL,27,FALSE)*($G64)-1*$G64),0)</f>
        <v>136</v>
      </c>
      <c r="P64" s="36">
        <f>IFERROR(IF(VLOOKUP($A64,'Wikia | Gehege'!$A:$AL,27,FALSE)=1,VLOOKUP($A64,'Wikia | Gehege'!$A:$AL,19,FALSE),VLOOKUP($A64,'Wikia | Gehege'!$A:$AL,19,FALSE)+VLOOKUP($A64,'Wikia | Gehege'!$A:$AL,27,FALSE)*($H64)-1*$H64),0)</f>
        <v>0</v>
      </c>
      <c r="Q64" s="37">
        <f>IFERROR(IF(VLOOKUP($A64,'Wikia | Gehege'!$A:$AL,27,FALSE)=1,VLOOKUP($A64,'Wikia | Gehege'!$A:$AL,20,FALSE),VLOOKUP($A64,'Wikia | Gehege'!$A:$AL,20,FALSE)+VLOOKUP($A64,'Wikia | Gehege'!$A:$AL,27,FALSE)*($I64)-1*$I64),0)</f>
        <v>0</v>
      </c>
      <c r="R64" s="87"/>
      <c r="S64" s="94"/>
      <c r="T64" s="38">
        <f>IFERROR(VLOOKUP($A64,'Wikia | Gehege'!$A:$AL,17,FALSE)+(($S64-1)*$F64),0)</f>
        <v>202</v>
      </c>
      <c r="U64" s="38">
        <f>IFERROR(VLOOKUP($A64,'Wikia | Gehege'!$A:$AL,18,FALSE)+(($S64-1)*$G64),0)</f>
        <v>16</v>
      </c>
      <c r="V64" s="38">
        <f>IFERROR(VLOOKUP($A64,'Wikia | Gehege'!$A:$AL,19,FALSE)+(($S64-1)*$H64),0)</f>
        <v>0</v>
      </c>
      <c r="W64" s="85">
        <f>IFERROR(VLOOKUP($A64,'Wikia | Gehege'!$A:$AL,20,FALSE)+(($S64-1)*$I64),0)</f>
        <v>0</v>
      </c>
      <c r="X64" s="87"/>
    </row>
    <row r="65" spans="1:24" ht="35.1" customHeight="1" x14ac:dyDescent="0.2">
      <c r="A65" s="140" t="str">
        <f>'Wikia | Gehege'!A65</f>
        <v>Kegelrobbe</v>
      </c>
      <c r="B65" s="35">
        <v>212</v>
      </c>
      <c r="C65" s="36">
        <v>0</v>
      </c>
      <c r="D65" s="36">
        <v>341</v>
      </c>
      <c r="E65" s="37">
        <v>191</v>
      </c>
      <c r="F65" s="35">
        <f>IFERROR(B65-VLOOKUP($A65,'Wikia | Gehege'!$A:$AL,17,FALSE),0)</f>
        <v>12</v>
      </c>
      <c r="G65" s="36">
        <f>IFERROR(C65-VLOOKUP($A65,'Wikia | Gehege'!$A:$AL,18,FALSE),0)</f>
        <v>0</v>
      </c>
      <c r="H65" s="36">
        <f>IFERROR(D65-VLOOKUP($A65,'Wikia | Gehege'!$A:$AL,19,FALSE),0)</f>
        <v>41</v>
      </c>
      <c r="I65" s="37">
        <f>IFERROR(E65-VLOOKUP($A65,'Wikia | Gehege'!$A:$AL,20,FALSE),0)</f>
        <v>21</v>
      </c>
      <c r="J65" s="35">
        <f>IFERROR(IF(VLOOKUP($A65,'Wikia | Gehege'!$A:$AL,26,FALSE)=1,VLOOKUP($A65,'Wikia | Gehege'!$A:$AL,17,FALSE),VLOOKUP($A65,'Wikia | Gehege'!$A:$AL,17,FALSE)+VLOOKUP($A65,'Wikia | Gehege'!$A:$AL,26,FALSE)*($F65)-1*$F65),0)</f>
        <v>224</v>
      </c>
      <c r="K65" s="36">
        <f>IFERROR(IF(VLOOKUP($A65,'Wikia | Gehege'!$A:$AL,26,FALSE)=1,VLOOKUP($A65,'Wikia | Gehege'!$A:$AL,18,FALSE),VLOOKUP($A65,'Wikia | Gehege'!$A:$AL,18,FALSE)+VLOOKUP($A65,'Wikia | Gehege'!$A:$AL,26,FALSE)*($G65)-1*$G65),0)</f>
        <v>0</v>
      </c>
      <c r="L65" s="36">
        <f>IFERROR(IF(VLOOKUP($A65,'Wikia | Gehege'!$A:$AL,26,FALSE)=1,VLOOKUP($A65,'Wikia | Gehege'!$A:$AL,19,FALSE),VLOOKUP($A65,'Wikia | Gehege'!$A:$AL,19,FALSE)+VLOOKUP($A65,'Wikia | Gehege'!$A:$AL,26,FALSE)*($H65)-1*$H65),0)</f>
        <v>382</v>
      </c>
      <c r="M65" s="37">
        <f>IFERROR(IF(VLOOKUP($A65,'Wikia | Gehege'!$A:$AL,26,FALSE)=1,VLOOKUP($A65,'Wikia | Gehege'!$A:$AL,20,FALSE),VLOOKUP($A65,'Wikia | Gehege'!$A:$AL,20,FALSE)+VLOOKUP($A65,'Wikia | Gehege'!$A:$AL,26,FALSE)*($I65)-1*$I65),0)</f>
        <v>212</v>
      </c>
      <c r="N65" s="35">
        <f>IFERROR(IF(VLOOKUP($A65,'Wikia | Gehege'!$A:$AL,27,FALSE)=1,VLOOKUP($A65,'Wikia | Gehege'!$A:$AL,17,FALSE),VLOOKUP($A65,'Wikia | Gehege'!$A:$AL,17,FALSE)+VLOOKUP($A65,'Wikia | Gehege'!$A:$AL,27,FALSE)*($F65)-1*$F65),0)</f>
        <v>284</v>
      </c>
      <c r="O65" s="36">
        <f>IFERROR(IF(VLOOKUP($A65,'Wikia | Gehege'!$A:$AL,27,FALSE)=1,VLOOKUP($A65,'Wikia | Gehege'!$A:$AL,18,FALSE),VLOOKUP($A65,'Wikia | Gehege'!$A:$AL,18,FALSE)+VLOOKUP($A65,'Wikia | Gehege'!$A:$AL,27,FALSE)*($G65)-1*$G65),0)</f>
        <v>0</v>
      </c>
      <c r="P65" s="36">
        <f>IFERROR(IF(VLOOKUP($A65,'Wikia | Gehege'!$A:$AL,27,FALSE)=1,VLOOKUP($A65,'Wikia | Gehege'!$A:$AL,19,FALSE),VLOOKUP($A65,'Wikia | Gehege'!$A:$AL,19,FALSE)+VLOOKUP($A65,'Wikia | Gehege'!$A:$AL,27,FALSE)*($H65)-1*$H65),0)</f>
        <v>587</v>
      </c>
      <c r="Q65" s="37">
        <f>IFERROR(IF(VLOOKUP($A65,'Wikia | Gehege'!$A:$AL,27,FALSE)=1,VLOOKUP($A65,'Wikia | Gehege'!$A:$AL,20,FALSE),VLOOKUP($A65,'Wikia | Gehege'!$A:$AL,20,FALSE)+VLOOKUP($A65,'Wikia | Gehege'!$A:$AL,27,FALSE)*($I65)-1*$I65),0)</f>
        <v>317</v>
      </c>
      <c r="R65" s="87"/>
      <c r="S65" s="94"/>
      <c r="T65" s="38">
        <f>IFERROR(VLOOKUP($A65,'Wikia | Gehege'!$A:$AL,17,FALSE)+(($S65-1)*$F65),0)</f>
        <v>188</v>
      </c>
      <c r="U65" s="38">
        <f>IFERROR(VLOOKUP($A65,'Wikia | Gehege'!$A:$AL,18,FALSE)+(($S65-1)*$G65),0)</f>
        <v>0</v>
      </c>
      <c r="V65" s="38">
        <f>IFERROR(VLOOKUP($A65,'Wikia | Gehege'!$A:$AL,19,FALSE)+(($S65-1)*$H65),0)</f>
        <v>259</v>
      </c>
      <c r="W65" s="85">
        <f>IFERROR(VLOOKUP($A65,'Wikia | Gehege'!$A:$AL,20,FALSE)+(($S65-1)*$I65),0)</f>
        <v>149</v>
      </c>
      <c r="X65" s="87"/>
    </row>
    <row r="66" spans="1:24" ht="35.1" customHeight="1" x14ac:dyDescent="0.2">
      <c r="A66" s="140" t="str">
        <f>'Wikia | Gehege'!A66</f>
        <v>Kirk-Dikdik</v>
      </c>
      <c r="B66" s="35">
        <v>250</v>
      </c>
      <c r="C66" s="36">
        <v>0</v>
      </c>
      <c r="D66" s="36">
        <v>0</v>
      </c>
      <c r="E66" s="37">
        <v>0</v>
      </c>
      <c r="F66" s="35">
        <f>IFERROR(B66-VLOOKUP($A66,'Wikia | Gehege'!$A:$AL,17,FALSE),0)</f>
        <v>50</v>
      </c>
      <c r="G66" s="36">
        <f>IFERROR(C66-VLOOKUP($A66,'Wikia | Gehege'!$A:$AL,18,FALSE),0)</f>
        <v>0</v>
      </c>
      <c r="H66" s="36">
        <f>IFERROR(D66-VLOOKUP($A66,'Wikia | Gehege'!$A:$AL,19,FALSE),0)</f>
        <v>0</v>
      </c>
      <c r="I66" s="37">
        <f>IFERROR(E66-VLOOKUP($A66,'Wikia | Gehege'!$A:$AL,20,FALSE),0)</f>
        <v>0</v>
      </c>
      <c r="J66" s="35">
        <f>IFERROR(IF(VLOOKUP($A66,'Wikia | Gehege'!$A:$AL,26,FALSE)=1,VLOOKUP($A66,'Wikia | Gehege'!$A:$AL,17,FALSE),VLOOKUP($A66,'Wikia | Gehege'!$A:$AL,17,FALSE)+VLOOKUP($A66,'Wikia | Gehege'!$A:$AL,26,FALSE)*($F66)-1*$F66),0)</f>
        <v>200</v>
      </c>
      <c r="K66" s="36">
        <f>IFERROR(IF(VLOOKUP($A66,'Wikia | Gehege'!$A:$AL,26,FALSE)=1,VLOOKUP($A66,'Wikia | Gehege'!$A:$AL,18,FALSE),VLOOKUP($A66,'Wikia | Gehege'!$A:$AL,18,FALSE)+VLOOKUP($A66,'Wikia | Gehege'!$A:$AL,26,FALSE)*($G66)-1*$G66),0)</f>
        <v>0</v>
      </c>
      <c r="L66" s="36">
        <f>IFERROR(IF(VLOOKUP($A66,'Wikia | Gehege'!$A:$AL,26,FALSE)=1,VLOOKUP($A66,'Wikia | Gehege'!$A:$AL,19,FALSE),VLOOKUP($A66,'Wikia | Gehege'!$A:$AL,19,FALSE)+VLOOKUP($A66,'Wikia | Gehege'!$A:$AL,26,FALSE)*($H66)-1*$H66),0)</f>
        <v>0</v>
      </c>
      <c r="M66" s="37">
        <f>IFERROR(IF(VLOOKUP($A66,'Wikia | Gehege'!$A:$AL,26,FALSE)=1,VLOOKUP($A66,'Wikia | Gehege'!$A:$AL,20,FALSE),VLOOKUP($A66,'Wikia | Gehege'!$A:$AL,20,FALSE)+VLOOKUP($A66,'Wikia | Gehege'!$A:$AL,26,FALSE)*($I66)-1*$I66),0)</f>
        <v>0</v>
      </c>
      <c r="N66" s="35">
        <f>IFERROR(IF(VLOOKUP($A66,'Wikia | Gehege'!$A:$AL,27,FALSE)=1,VLOOKUP($A66,'Wikia | Gehege'!$A:$AL,17,FALSE),VLOOKUP($A66,'Wikia | Gehege'!$A:$AL,17,FALSE)+VLOOKUP($A66,'Wikia | Gehege'!$A:$AL,27,FALSE)*($F66)-1*$F66),0)</f>
        <v>250</v>
      </c>
      <c r="O66" s="36">
        <f>IFERROR(IF(VLOOKUP($A66,'Wikia | Gehege'!$A:$AL,27,FALSE)=1,VLOOKUP($A66,'Wikia | Gehege'!$A:$AL,18,FALSE),VLOOKUP($A66,'Wikia | Gehege'!$A:$AL,18,FALSE)+VLOOKUP($A66,'Wikia | Gehege'!$A:$AL,27,FALSE)*($G66)-1*$G66),0)</f>
        <v>0</v>
      </c>
      <c r="P66" s="36">
        <f>IFERROR(IF(VLOOKUP($A66,'Wikia | Gehege'!$A:$AL,27,FALSE)=1,VLOOKUP($A66,'Wikia | Gehege'!$A:$AL,19,FALSE),VLOOKUP($A66,'Wikia | Gehege'!$A:$AL,19,FALSE)+VLOOKUP($A66,'Wikia | Gehege'!$A:$AL,27,FALSE)*($H66)-1*$H66),0)</f>
        <v>0</v>
      </c>
      <c r="Q66" s="37">
        <f>IFERROR(IF(VLOOKUP($A66,'Wikia | Gehege'!$A:$AL,27,FALSE)=1,VLOOKUP($A66,'Wikia | Gehege'!$A:$AL,20,FALSE),VLOOKUP($A66,'Wikia | Gehege'!$A:$AL,20,FALSE)+VLOOKUP($A66,'Wikia | Gehege'!$A:$AL,27,FALSE)*($I66)-1*$I66),0)</f>
        <v>0</v>
      </c>
      <c r="R66" s="87"/>
      <c r="S66" s="94"/>
      <c r="T66" s="38">
        <f>IFERROR(VLOOKUP($A66,'Wikia | Gehege'!$A:$AL,17,FALSE)+(($S66-1)*$F66),0)</f>
        <v>150</v>
      </c>
      <c r="U66" s="38">
        <f>IFERROR(VLOOKUP($A66,'Wikia | Gehege'!$A:$AL,18,FALSE)+(($S66-1)*$G66),0)</f>
        <v>0</v>
      </c>
      <c r="V66" s="38">
        <f>IFERROR(VLOOKUP($A66,'Wikia | Gehege'!$A:$AL,19,FALSE)+(($S66-1)*$H66),0)</f>
        <v>0</v>
      </c>
      <c r="W66" s="85">
        <f>IFERROR(VLOOKUP($A66,'Wikia | Gehege'!$A:$AL,20,FALSE)+(($S66-1)*$I66),0)</f>
        <v>0</v>
      </c>
      <c r="X66" s="87"/>
    </row>
    <row r="67" spans="1:24" ht="35.1" customHeight="1" x14ac:dyDescent="0.2">
      <c r="A67" s="140" t="str">
        <f>'Wikia | Gehege'!A67</f>
        <v xml:space="preserve">Kleiner Panda </v>
      </c>
      <c r="B67" s="35">
        <v>230</v>
      </c>
      <c r="C67" s="36">
        <v>56</v>
      </c>
      <c r="D67" s="36">
        <v>0</v>
      </c>
      <c r="E67" s="37">
        <v>0</v>
      </c>
      <c r="F67" s="35">
        <f>IFERROR(B67-VLOOKUP($A67,'Wikia | Gehege'!$A:$AL,17,FALSE),0)</f>
        <v>10</v>
      </c>
      <c r="G67" s="36">
        <f>IFERROR(C67-VLOOKUP($A67,'Wikia | Gehege'!$A:$AL,18,FALSE),0)</f>
        <v>16</v>
      </c>
      <c r="H67" s="36">
        <f>IFERROR(D67-VLOOKUP($A67,'Wikia | Gehege'!$A:$AL,19,FALSE),0)</f>
        <v>0</v>
      </c>
      <c r="I67" s="37">
        <f>IFERROR(E67-VLOOKUP($A67,'Wikia | Gehege'!$A:$AL,20,FALSE),0)</f>
        <v>0</v>
      </c>
      <c r="J67" s="35">
        <f>IFERROR(IF(VLOOKUP($A67,'Wikia | Gehege'!$A:$AL,26,FALSE)=1,VLOOKUP($A67,'Wikia | Gehege'!$A:$AL,17,FALSE),VLOOKUP($A67,'Wikia | Gehege'!$A:$AL,17,FALSE)+VLOOKUP($A67,'Wikia | Gehege'!$A:$AL,26,FALSE)*($F67)-1*$F67),0)</f>
        <v>220</v>
      </c>
      <c r="K67" s="36">
        <f>IFERROR(IF(VLOOKUP($A67,'Wikia | Gehege'!$A:$AL,26,FALSE)=1,VLOOKUP($A67,'Wikia | Gehege'!$A:$AL,18,FALSE),VLOOKUP($A67,'Wikia | Gehege'!$A:$AL,18,FALSE)+VLOOKUP($A67,'Wikia | Gehege'!$A:$AL,26,FALSE)*($G67)-1*$G67),0)</f>
        <v>40</v>
      </c>
      <c r="L67" s="36">
        <f>IFERROR(IF(VLOOKUP($A67,'Wikia | Gehege'!$A:$AL,26,FALSE)=1,VLOOKUP($A67,'Wikia | Gehege'!$A:$AL,19,FALSE),VLOOKUP($A67,'Wikia | Gehege'!$A:$AL,19,FALSE)+VLOOKUP($A67,'Wikia | Gehege'!$A:$AL,26,FALSE)*($H67)-1*$H67),0)</f>
        <v>0</v>
      </c>
      <c r="M67" s="37">
        <f>IFERROR(IF(VLOOKUP($A67,'Wikia | Gehege'!$A:$AL,26,FALSE)=1,VLOOKUP($A67,'Wikia | Gehege'!$A:$AL,20,FALSE),VLOOKUP($A67,'Wikia | Gehege'!$A:$AL,20,FALSE)+VLOOKUP($A67,'Wikia | Gehege'!$A:$AL,26,FALSE)*($I67)-1*$I67),0)</f>
        <v>0</v>
      </c>
      <c r="N67" s="35">
        <f>IFERROR(IF(VLOOKUP($A67,'Wikia | Gehege'!$A:$AL,27,FALSE)=1,VLOOKUP($A67,'Wikia | Gehege'!$A:$AL,17,FALSE),VLOOKUP($A67,'Wikia | Gehege'!$A:$AL,17,FALSE)+VLOOKUP($A67,'Wikia | Gehege'!$A:$AL,27,FALSE)*($F67)-1*$F67),0)</f>
        <v>230</v>
      </c>
      <c r="O67" s="36">
        <f>IFERROR(IF(VLOOKUP($A67,'Wikia | Gehege'!$A:$AL,27,FALSE)=1,VLOOKUP($A67,'Wikia | Gehege'!$A:$AL,18,FALSE),VLOOKUP($A67,'Wikia | Gehege'!$A:$AL,18,FALSE)+VLOOKUP($A67,'Wikia | Gehege'!$A:$AL,27,FALSE)*($G67)-1*$G67),0)</f>
        <v>56</v>
      </c>
      <c r="P67" s="36">
        <f>IFERROR(IF(VLOOKUP($A67,'Wikia | Gehege'!$A:$AL,27,FALSE)=1,VLOOKUP($A67,'Wikia | Gehege'!$A:$AL,19,FALSE),VLOOKUP($A67,'Wikia | Gehege'!$A:$AL,19,FALSE)+VLOOKUP($A67,'Wikia | Gehege'!$A:$AL,27,FALSE)*($H67)-1*$H67),0)</f>
        <v>0</v>
      </c>
      <c r="Q67" s="37">
        <f>IFERROR(IF(VLOOKUP($A67,'Wikia | Gehege'!$A:$AL,27,FALSE)=1,VLOOKUP($A67,'Wikia | Gehege'!$A:$AL,20,FALSE),VLOOKUP($A67,'Wikia | Gehege'!$A:$AL,20,FALSE)+VLOOKUP($A67,'Wikia | Gehege'!$A:$AL,27,FALSE)*($I67)-1*$I67),0)</f>
        <v>0</v>
      </c>
      <c r="R67" s="87"/>
      <c r="S67" s="94"/>
      <c r="T67" s="38">
        <f>IFERROR(VLOOKUP($A67,'Wikia | Gehege'!$A:$AL,17,FALSE)+(($S67-1)*$F67),0)</f>
        <v>210</v>
      </c>
      <c r="U67" s="38">
        <f>IFERROR(VLOOKUP($A67,'Wikia | Gehege'!$A:$AL,18,FALSE)+(($S67-1)*$G67),0)</f>
        <v>24</v>
      </c>
      <c r="V67" s="38">
        <f>IFERROR(VLOOKUP($A67,'Wikia | Gehege'!$A:$AL,19,FALSE)+(($S67-1)*$H67),0)</f>
        <v>0</v>
      </c>
      <c r="W67" s="85">
        <f>IFERROR(VLOOKUP($A67,'Wikia | Gehege'!$A:$AL,20,FALSE)+(($S67-1)*$I67),0)</f>
        <v>0</v>
      </c>
      <c r="X67" s="87"/>
    </row>
    <row r="68" spans="1:24" ht="35.1" customHeight="1" x14ac:dyDescent="0.2">
      <c r="A68" s="140" t="str">
        <f>'Wikia | Gehege'!A68</f>
        <v>Koala</v>
      </c>
      <c r="B68" s="35">
        <v>240</v>
      </c>
      <c r="C68" s="36">
        <v>40</v>
      </c>
      <c r="D68" s="36">
        <v>0</v>
      </c>
      <c r="E68" s="37">
        <v>0</v>
      </c>
      <c r="F68" s="35">
        <f>IFERROR(B68-VLOOKUP($A68,'Wikia | Gehege'!$A:$AL,17,FALSE),0)</f>
        <v>60</v>
      </c>
      <c r="G68" s="36">
        <f>IFERROR(C68-VLOOKUP($A68,'Wikia | Gehege'!$A:$AL,18,FALSE),0)</f>
        <v>20</v>
      </c>
      <c r="H68" s="36">
        <f>IFERROR(D68-VLOOKUP($A68,'Wikia | Gehege'!$A:$AL,19,FALSE),0)</f>
        <v>0</v>
      </c>
      <c r="I68" s="37">
        <f>IFERROR(E68-VLOOKUP($A68,'Wikia | Gehege'!$A:$AL,20,FALSE),0)</f>
        <v>0</v>
      </c>
      <c r="J68" s="35">
        <f>IFERROR(IF(VLOOKUP($A68,'Wikia | Gehege'!$A:$AL,26,FALSE)=1,VLOOKUP($A68,'Wikia | Gehege'!$A:$AL,17,FALSE),VLOOKUP($A68,'Wikia | Gehege'!$A:$AL,17,FALSE)+VLOOKUP($A68,'Wikia | Gehege'!$A:$AL,26,FALSE)*($F68)-1*$F68),0)</f>
        <v>180</v>
      </c>
      <c r="K68" s="36">
        <f>IFERROR(IF(VLOOKUP($A68,'Wikia | Gehege'!$A:$AL,26,FALSE)=1,VLOOKUP($A68,'Wikia | Gehege'!$A:$AL,18,FALSE),VLOOKUP($A68,'Wikia | Gehege'!$A:$AL,18,FALSE)+VLOOKUP($A68,'Wikia | Gehege'!$A:$AL,26,FALSE)*($G68)-1*$G68),0)</f>
        <v>20</v>
      </c>
      <c r="L68" s="36">
        <f>IFERROR(IF(VLOOKUP($A68,'Wikia | Gehege'!$A:$AL,26,FALSE)=1,VLOOKUP($A68,'Wikia | Gehege'!$A:$AL,19,FALSE),VLOOKUP($A68,'Wikia | Gehege'!$A:$AL,19,FALSE)+VLOOKUP($A68,'Wikia | Gehege'!$A:$AL,26,FALSE)*($H68)-1*$H68),0)</f>
        <v>0</v>
      </c>
      <c r="M68" s="37">
        <f>IFERROR(IF(VLOOKUP($A68,'Wikia | Gehege'!$A:$AL,26,FALSE)=1,VLOOKUP($A68,'Wikia | Gehege'!$A:$AL,20,FALSE),VLOOKUP($A68,'Wikia | Gehege'!$A:$AL,20,FALSE)+VLOOKUP($A68,'Wikia | Gehege'!$A:$AL,26,FALSE)*($I68)-1*$I68),0)</f>
        <v>0</v>
      </c>
      <c r="N68" s="35">
        <f>IFERROR(IF(VLOOKUP($A68,'Wikia | Gehege'!$A:$AL,27,FALSE)=1,VLOOKUP($A68,'Wikia | Gehege'!$A:$AL,17,FALSE),VLOOKUP($A68,'Wikia | Gehege'!$A:$AL,17,FALSE)+VLOOKUP($A68,'Wikia | Gehege'!$A:$AL,27,FALSE)*($F68)-1*$F68),0)</f>
        <v>360</v>
      </c>
      <c r="O68" s="36">
        <f>IFERROR(IF(VLOOKUP($A68,'Wikia | Gehege'!$A:$AL,27,FALSE)=1,VLOOKUP($A68,'Wikia | Gehege'!$A:$AL,18,FALSE),VLOOKUP($A68,'Wikia | Gehege'!$A:$AL,18,FALSE)+VLOOKUP($A68,'Wikia | Gehege'!$A:$AL,27,FALSE)*($G68)-1*$G68),0)</f>
        <v>80</v>
      </c>
      <c r="P68" s="36">
        <f>IFERROR(IF(VLOOKUP($A68,'Wikia | Gehege'!$A:$AL,27,FALSE)=1,VLOOKUP($A68,'Wikia | Gehege'!$A:$AL,19,FALSE),VLOOKUP($A68,'Wikia | Gehege'!$A:$AL,19,FALSE)+VLOOKUP($A68,'Wikia | Gehege'!$A:$AL,27,FALSE)*($H68)-1*$H68),0)</f>
        <v>0</v>
      </c>
      <c r="Q68" s="37">
        <f>IFERROR(IF(VLOOKUP($A68,'Wikia | Gehege'!$A:$AL,27,FALSE)=1,VLOOKUP($A68,'Wikia | Gehege'!$A:$AL,20,FALSE),VLOOKUP($A68,'Wikia | Gehege'!$A:$AL,20,FALSE)+VLOOKUP($A68,'Wikia | Gehege'!$A:$AL,27,FALSE)*($I68)-1*$I68),0)</f>
        <v>0</v>
      </c>
      <c r="R68" s="87"/>
      <c r="S68" s="94"/>
      <c r="T68" s="38">
        <f>IFERROR(VLOOKUP($A68,'Wikia | Gehege'!$A:$AL,17,FALSE)+(($S68-1)*$F68),0)</f>
        <v>120</v>
      </c>
      <c r="U68" s="38">
        <f>IFERROR(VLOOKUP($A68,'Wikia | Gehege'!$A:$AL,18,FALSE)+(($S68-1)*$G68),0)</f>
        <v>0</v>
      </c>
      <c r="V68" s="38">
        <f>IFERROR(VLOOKUP($A68,'Wikia | Gehege'!$A:$AL,19,FALSE)+(($S68-1)*$H68),0)</f>
        <v>0</v>
      </c>
      <c r="W68" s="85">
        <f>IFERROR(VLOOKUP($A68,'Wikia | Gehege'!$A:$AL,20,FALSE)+(($S68-1)*$I68),0)</f>
        <v>0</v>
      </c>
      <c r="X68" s="87"/>
    </row>
    <row r="69" spans="1:24" ht="35.1" customHeight="1" x14ac:dyDescent="0.2">
      <c r="A69" s="140" t="str">
        <f>'Wikia | Gehege'!A69</f>
        <v>Komodowaran</v>
      </c>
      <c r="B69" s="35">
        <v>680</v>
      </c>
      <c r="C69" s="36">
        <v>0</v>
      </c>
      <c r="D69" s="36">
        <v>0</v>
      </c>
      <c r="E69" s="37">
        <v>0</v>
      </c>
      <c r="F69" s="35">
        <f>IFERROR(B69-VLOOKUP($A69,'Wikia | Gehege'!$A:$AL,17,FALSE),0)</f>
        <v>80</v>
      </c>
      <c r="G69" s="36">
        <f>IFERROR(C69-VLOOKUP($A69,'Wikia | Gehege'!$A:$AL,18,FALSE),0)</f>
        <v>0</v>
      </c>
      <c r="H69" s="36">
        <f>IFERROR(D69-VLOOKUP($A69,'Wikia | Gehege'!$A:$AL,19,FALSE),0)</f>
        <v>0</v>
      </c>
      <c r="I69" s="37">
        <f>IFERROR(E69-VLOOKUP($A69,'Wikia | Gehege'!$A:$AL,20,FALSE),0)</f>
        <v>0</v>
      </c>
      <c r="J69" s="35">
        <f>IFERROR(IF(VLOOKUP($A69,'Wikia | Gehege'!$A:$AL,26,FALSE)=1,VLOOKUP($A69,'Wikia | Gehege'!$A:$AL,17,FALSE),VLOOKUP($A69,'Wikia | Gehege'!$A:$AL,17,FALSE)+VLOOKUP($A69,'Wikia | Gehege'!$A:$AL,26,FALSE)*($F69)-1*$F69),0)</f>
        <v>600</v>
      </c>
      <c r="K69" s="36">
        <f>IFERROR(IF(VLOOKUP($A69,'Wikia | Gehege'!$A:$AL,26,FALSE)=1,VLOOKUP($A69,'Wikia | Gehege'!$A:$AL,18,FALSE),VLOOKUP($A69,'Wikia | Gehege'!$A:$AL,18,FALSE)+VLOOKUP($A69,'Wikia | Gehege'!$A:$AL,26,FALSE)*($G69)-1*$G69),0)</f>
        <v>0</v>
      </c>
      <c r="L69" s="36">
        <f>IFERROR(IF(VLOOKUP($A69,'Wikia | Gehege'!$A:$AL,26,FALSE)=1,VLOOKUP($A69,'Wikia | Gehege'!$A:$AL,19,FALSE),VLOOKUP($A69,'Wikia | Gehege'!$A:$AL,19,FALSE)+VLOOKUP($A69,'Wikia | Gehege'!$A:$AL,26,FALSE)*($H69)-1*$H69),0)</f>
        <v>0</v>
      </c>
      <c r="M69" s="37">
        <f>IFERROR(IF(VLOOKUP($A69,'Wikia | Gehege'!$A:$AL,26,FALSE)=1,VLOOKUP($A69,'Wikia | Gehege'!$A:$AL,20,FALSE),VLOOKUP($A69,'Wikia | Gehege'!$A:$AL,20,FALSE)+VLOOKUP($A69,'Wikia | Gehege'!$A:$AL,26,FALSE)*($I69)-1*$I69),0)</f>
        <v>0</v>
      </c>
      <c r="N69" s="35">
        <f>IFERROR(IF(VLOOKUP($A69,'Wikia | Gehege'!$A:$AL,27,FALSE)=1,VLOOKUP($A69,'Wikia | Gehege'!$A:$AL,17,FALSE),VLOOKUP($A69,'Wikia | Gehege'!$A:$AL,17,FALSE)+VLOOKUP($A69,'Wikia | Gehege'!$A:$AL,27,FALSE)*($F69)-1*$F69),0)</f>
        <v>680</v>
      </c>
      <c r="O69" s="36">
        <f>IFERROR(IF(VLOOKUP($A69,'Wikia | Gehege'!$A:$AL,27,FALSE)=1,VLOOKUP($A69,'Wikia | Gehege'!$A:$AL,18,FALSE),VLOOKUP($A69,'Wikia | Gehege'!$A:$AL,18,FALSE)+VLOOKUP($A69,'Wikia | Gehege'!$A:$AL,27,FALSE)*($G69)-1*$G69),0)</f>
        <v>0</v>
      </c>
      <c r="P69" s="36">
        <f>IFERROR(IF(VLOOKUP($A69,'Wikia | Gehege'!$A:$AL,27,FALSE)=1,VLOOKUP($A69,'Wikia | Gehege'!$A:$AL,19,FALSE),VLOOKUP($A69,'Wikia | Gehege'!$A:$AL,19,FALSE)+VLOOKUP($A69,'Wikia | Gehege'!$A:$AL,27,FALSE)*($H69)-1*$H69),0)</f>
        <v>0</v>
      </c>
      <c r="Q69" s="37">
        <f>IFERROR(IF(VLOOKUP($A69,'Wikia | Gehege'!$A:$AL,27,FALSE)=1,VLOOKUP($A69,'Wikia | Gehege'!$A:$AL,20,FALSE),VLOOKUP($A69,'Wikia | Gehege'!$A:$AL,20,FALSE)+VLOOKUP($A69,'Wikia | Gehege'!$A:$AL,27,FALSE)*($I69)-1*$I69),0)</f>
        <v>0</v>
      </c>
      <c r="R69" s="87"/>
      <c r="S69" s="94"/>
      <c r="T69" s="38">
        <f>IFERROR(VLOOKUP($A69,'Wikia | Gehege'!$A:$AL,17,FALSE)+(($S69-1)*$F69),0)</f>
        <v>520</v>
      </c>
      <c r="U69" s="38">
        <f>IFERROR(VLOOKUP($A69,'Wikia | Gehege'!$A:$AL,18,FALSE)+(($S69-1)*$G69),0)</f>
        <v>0</v>
      </c>
      <c r="V69" s="38">
        <f>IFERROR(VLOOKUP($A69,'Wikia | Gehege'!$A:$AL,19,FALSE)+(($S69-1)*$H69),0)</f>
        <v>0</v>
      </c>
      <c r="W69" s="85">
        <f>IFERROR(VLOOKUP($A69,'Wikia | Gehege'!$A:$AL,20,FALSE)+(($S69-1)*$I69),0)</f>
        <v>0</v>
      </c>
      <c r="X69" s="87"/>
    </row>
    <row r="70" spans="1:24" ht="35.1" customHeight="1" x14ac:dyDescent="0.2">
      <c r="A70" s="140" t="str">
        <f>'Wikia | Gehege'!A70</f>
        <v>Königspinguin</v>
      </c>
      <c r="B70" s="35">
        <v>204</v>
      </c>
      <c r="C70" s="36">
        <v>0</v>
      </c>
      <c r="D70" s="36">
        <v>147</v>
      </c>
      <c r="E70" s="37">
        <v>88</v>
      </c>
      <c r="F70" s="35">
        <f>IFERROR(B70-VLOOKUP($A70,'Wikia | Gehege'!$A:$AL,17,FALSE),0)</f>
        <v>4</v>
      </c>
      <c r="G70" s="36">
        <f>IFERROR(C70-VLOOKUP($A70,'Wikia | Gehege'!$A:$AL,18,FALSE),0)</f>
        <v>0</v>
      </c>
      <c r="H70" s="36">
        <f>IFERROR(D70-VLOOKUP($A70,'Wikia | Gehege'!$A:$AL,19,FALSE),0)</f>
        <v>3</v>
      </c>
      <c r="I70" s="37">
        <f>IFERROR(E70-VLOOKUP($A70,'Wikia | Gehege'!$A:$AL,20,FALSE),0)</f>
        <v>2</v>
      </c>
      <c r="J70" s="35">
        <f>IFERROR(IF(VLOOKUP($A70,'Wikia | Gehege'!$A:$AL,26,FALSE)=1,VLOOKUP($A70,'Wikia | Gehege'!$A:$AL,17,FALSE),VLOOKUP($A70,'Wikia | Gehege'!$A:$AL,17,FALSE)+VLOOKUP($A70,'Wikia | Gehege'!$A:$AL,26,FALSE)*($F70)-1*$F70),0)</f>
        <v>220</v>
      </c>
      <c r="K70" s="36">
        <f>IFERROR(IF(VLOOKUP($A70,'Wikia | Gehege'!$A:$AL,26,FALSE)=1,VLOOKUP($A70,'Wikia | Gehege'!$A:$AL,18,FALSE),VLOOKUP($A70,'Wikia | Gehege'!$A:$AL,18,FALSE)+VLOOKUP($A70,'Wikia | Gehege'!$A:$AL,26,FALSE)*($G70)-1*$G70),0)</f>
        <v>0</v>
      </c>
      <c r="L70" s="36">
        <f>IFERROR(IF(VLOOKUP($A70,'Wikia | Gehege'!$A:$AL,26,FALSE)=1,VLOOKUP($A70,'Wikia | Gehege'!$A:$AL,19,FALSE),VLOOKUP($A70,'Wikia | Gehege'!$A:$AL,19,FALSE)+VLOOKUP($A70,'Wikia | Gehege'!$A:$AL,26,FALSE)*($H70)-1*$H70),0)</f>
        <v>159</v>
      </c>
      <c r="M70" s="37">
        <f>IFERROR(IF(VLOOKUP($A70,'Wikia | Gehege'!$A:$AL,26,FALSE)=1,VLOOKUP($A70,'Wikia | Gehege'!$A:$AL,20,FALSE),VLOOKUP($A70,'Wikia | Gehege'!$A:$AL,20,FALSE)+VLOOKUP($A70,'Wikia | Gehege'!$A:$AL,26,FALSE)*($I70)-1*$I70),0)</f>
        <v>96</v>
      </c>
      <c r="N70" s="35">
        <f>IFERROR(IF(VLOOKUP($A70,'Wikia | Gehege'!$A:$AL,27,FALSE)=1,VLOOKUP($A70,'Wikia | Gehege'!$A:$AL,17,FALSE),VLOOKUP($A70,'Wikia | Gehege'!$A:$AL,17,FALSE)+VLOOKUP($A70,'Wikia | Gehege'!$A:$AL,27,FALSE)*($F70)-1*$F70),0)</f>
        <v>2196</v>
      </c>
      <c r="O70" s="36">
        <f>IFERROR(IF(VLOOKUP($A70,'Wikia | Gehege'!$A:$AL,27,FALSE)=1,VLOOKUP($A70,'Wikia | Gehege'!$A:$AL,18,FALSE),VLOOKUP($A70,'Wikia | Gehege'!$A:$AL,18,FALSE)+VLOOKUP($A70,'Wikia | Gehege'!$A:$AL,27,FALSE)*($G70)-1*$G70),0)</f>
        <v>0</v>
      </c>
      <c r="P70" s="36">
        <f>IFERROR(IF(VLOOKUP($A70,'Wikia | Gehege'!$A:$AL,27,FALSE)=1,VLOOKUP($A70,'Wikia | Gehege'!$A:$AL,19,FALSE),VLOOKUP($A70,'Wikia | Gehege'!$A:$AL,19,FALSE)+VLOOKUP($A70,'Wikia | Gehege'!$A:$AL,27,FALSE)*($H70)-1*$H70),0)</f>
        <v>1641</v>
      </c>
      <c r="Q70" s="37">
        <f>IFERROR(IF(VLOOKUP($A70,'Wikia | Gehege'!$A:$AL,27,FALSE)=1,VLOOKUP($A70,'Wikia | Gehege'!$A:$AL,20,FALSE),VLOOKUP($A70,'Wikia | Gehege'!$A:$AL,20,FALSE)+VLOOKUP($A70,'Wikia | Gehege'!$A:$AL,27,FALSE)*($I70)-1*$I70),0)</f>
        <v>1084</v>
      </c>
      <c r="R70" s="87"/>
      <c r="S70" s="94"/>
      <c r="T70" s="38">
        <f>IFERROR(VLOOKUP($A70,'Wikia | Gehege'!$A:$AL,17,FALSE)+(($S70-1)*$F70),0)</f>
        <v>196</v>
      </c>
      <c r="U70" s="38">
        <f>IFERROR(VLOOKUP($A70,'Wikia | Gehege'!$A:$AL,18,FALSE)+(($S70-1)*$G70),0)</f>
        <v>0</v>
      </c>
      <c r="V70" s="38">
        <f>IFERROR(VLOOKUP($A70,'Wikia | Gehege'!$A:$AL,19,FALSE)+(($S70-1)*$H70),0)</f>
        <v>141</v>
      </c>
      <c r="W70" s="85">
        <f>IFERROR(VLOOKUP($A70,'Wikia | Gehege'!$A:$AL,20,FALSE)+(($S70-1)*$I70),0)</f>
        <v>84</v>
      </c>
      <c r="X70" s="87"/>
    </row>
    <row r="71" spans="1:24" ht="35.1" customHeight="1" x14ac:dyDescent="0.2">
      <c r="A71" s="140" t="str">
        <f>'Wikia | Gehege'!A71</f>
        <v xml:space="preserve">Königstiger </v>
      </c>
      <c r="B71" s="35">
        <v>816</v>
      </c>
      <c r="C71" s="36">
        <v>0</v>
      </c>
      <c r="D71" s="36">
        <v>0</v>
      </c>
      <c r="E71" s="37">
        <v>0</v>
      </c>
      <c r="F71" s="35">
        <f>IFERROR(B71-VLOOKUP($A71,'Wikia | Gehege'!$A:$AL,17,FALSE),0)</f>
        <v>111</v>
      </c>
      <c r="G71" s="36">
        <f>IFERROR(C71-VLOOKUP($A71,'Wikia | Gehege'!$A:$AL,18,FALSE),0)</f>
        <v>0</v>
      </c>
      <c r="H71" s="36">
        <f>IFERROR(D71-VLOOKUP($A71,'Wikia | Gehege'!$A:$AL,19,FALSE),0)</f>
        <v>0</v>
      </c>
      <c r="I71" s="37">
        <f>IFERROR(E71-VLOOKUP($A71,'Wikia | Gehege'!$A:$AL,20,FALSE),0)</f>
        <v>0</v>
      </c>
      <c r="J71" s="35">
        <f>IFERROR(IF(VLOOKUP($A71,'Wikia | Gehege'!$A:$AL,26,FALSE)=1,VLOOKUP($A71,'Wikia | Gehege'!$A:$AL,17,FALSE),VLOOKUP($A71,'Wikia | Gehege'!$A:$AL,17,FALSE)+VLOOKUP($A71,'Wikia | Gehege'!$A:$AL,26,FALSE)*($F71)-1*$F71),0)</f>
        <v>705</v>
      </c>
      <c r="K71" s="36">
        <f>IFERROR(IF(VLOOKUP($A71,'Wikia | Gehege'!$A:$AL,26,FALSE)=1,VLOOKUP($A71,'Wikia | Gehege'!$A:$AL,18,FALSE),VLOOKUP($A71,'Wikia | Gehege'!$A:$AL,18,FALSE)+VLOOKUP($A71,'Wikia | Gehege'!$A:$AL,26,FALSE)*($G71)-1*$G71),0)</f>
        <v>0</v>
      </c>
      <c r="L71" s="36">
        <f>IFERROR(IF(VLOOKUP($A71,'Wikia | Gehege'!$A:$AL,26,FALSE)=1,VLOOKUP($A71,'Wikia | Gehege'!$A:$AL,19,FALSE),VLOOKUP($A71,'Wikia | Gehege'!$A:$AL,19,FALSE)+VLOOKUP($A71,'Wikia | Gehege'!$A:$AL,26,FALSE)*($H71)-1*$H71),0)</f>
        <v>0</v>
      </c>
      <c r="M71" s="37">
        <f>IFERROR(IF(VLOOKUP($A71,'Wikia | Gehege'!$A:$AL,26,FALSE)=1,VLOOKUP($A71,'Wikia | Gehege'!$A:$AL,20,FALSE),VLOOKUP($A71,'Wikia | Gehege'!$A:$AL,20,FALSE)+VLOOKUP($A71,'Wikia | Gehege'!$A:$AL,26,FALSE)*($I71)-1*$I71),0)</f>
        <v>0</v>
      </c>
      <c r="N71" s="35">
        <f>IFERROR(IF(VLOOKUP($A71,'Wikia | Gehege'!$A:$AL,27,FALSE)=1,VLOOKUP($A71,'Wikia | Gehege'!$A:$AL,17,FALSE),VLOOKUP($A71,'Wikia | Gehege'!$A:$AL,17,FALSE)+VLOOKUP($A71,'Wikia | Gehege'!$A:$AL,27,FALSE)*($F71)-1*$F71),0)</f>
        <v>816</v>
      </c>
      <c r="O71" s="36">
        <f>IFERROR(IF(VLOOKUP($A71,'Wikia | Gehege'!$A:$AL,27,FALSE)=1,VLOOKUP($A71,'Wikia | Gehege'!$A:$AL,18,FALSE),VLOOKUP($A71,'Wikia | Gehege'!$A:$AL,18,FALSE)+VLOOKUP($A71,'Wikia | Gehege'!$A:$AL,27,FALSE)*($G71)-1*$G71),0)</f>
        <v>0</v>
      </c>
      <c r="P71" s="36">
        <f>IFERROR(IF(VLOOKUP($A71,'Wikia | Gehege'!$A:$AL,27,FALSE)=1,VLOOKUP($A71,'Wikia | Gehege'!$A:$AL,19,FALSE),VLOOKUP($A71,'Wikia | Gehege'!$A:$AL,19,FALSE)+VLOOKUP($A71,'Wikia | Gehege'!$A:$AL,27,FALSE)*($H71)-1*$H71),0)</f>
        <v>0</v>
      </c>
      <c r="Q71" s="37">
        <f>IFERROR(IF(VLOOKUP($A71,'Wikia | Gehege'!$A:$AL,27,FALSE)=1,VLOOKUP($A71,'Wikia | Gehege'!$A:$AL,20,FALSE),VLOOKUP($A71,'Wikia | Gehege'!$A:$AL,20,FALSE)+VLOOKUP($A71,'Wikia | Gehege'!$A:$AL,27,FALSE)*($I71)-1*$I71),0)</f>
        <v>0</v>
      </c>
      <c r="R71" s="87"/>
      <c r="S71" s="94"/>
      <c r="T71" s="38">
        <f>IFERROR(VLOOKUP($A71,'Wikia | Gehege'!$A:$AL,17,FALSE)+(($S71-1)*$F71),0)</f>
        <v>594</v>
      </c>
      <c r="U71" s="38">
        <f>IFERROR(VLOOKUP($A71,'Wikia | Gehege'!$A:$AL,18,FALSE)+(($S71-1)*$G71),0)</f>
        <v>0</v>
      </c>
      <c r="V71" s="38">
        <f>IFERROR(VLOOKUP($A71,'Wikia | Gehege'!$A:$AL,19,FALSE)+(($S71-1)*$H71),0)</f>
        <v>0</v>
      </c>
      <c r="W71" s="85">
        <f>IFERROR(VLOOKUP($A71,'Wikia | Gehege'!$A:$AL,20,FALSE)+(($S71-1)*$I71),0)</f>
        <v>0</v>
      </c>
      <c r="X71" s="87"/>
    </row>
    <row r="72" spans="1:24" ht="35.1" customHeight="1" x14ac:dyDescent="0.2">
      <c r="A72" s="140" t="str">
        <f>'Wikia | Gehege'!A72</f>
        <v>Krokodilkaiman</v>
      </c>
      <c r="B72" s="35">
        <v>258</v>
      </c>
      <c r="C72" s="36">
        <v>0</v>
      </c>
      <c r="D72" s="36">
        <v>234</v>
      </c>
      <c r="E72" s="37">
        <v>0</v>
      </c>
      <c r="F72" s="35">
        <f>IFERROR(B72-VLOOKUP($A72,'Wikia | Gehege'!$A:$AL,17,FALSE),0)</f>
        <v>18</v>
      </c>
      <c r="G72" s="36">
        <f>IFERROR(C72-VLOOKUP($A72,'Wikia | Gehege'!$A:$AL,18,FALSE),0)</f>
        <v>0</v>
      </c>
      <c r="H72" s="36">
        <f>IFERROR(D72-VLOOKUP($A72,'Wikia | Gehege'!$A:$AL,19,FALSE),0)</f>
        <v>14</v>
      </c>
      <c r="I72" s="37">
        <f>IFERROR(E72-VLOOKUP($A72,'Wikia | Gehege'!$A:$AL,20,FALSE),0)</f>
        <v>0</v>
      </c>
      <c r="J72" s="35">
        <f>IFERROR(IF(VLOOKUP($A72,'Wikia | Gehege'!$A:$AL,26,FALSE)=1,VLOOKUP($A72,'Wikia | Gehege'!$A:$AL,17,FALSE),VLOOKUP($A72,'Wikia | Gehege'!$A:$AL,17,FALSE)+VLOOKUP($A72,'Wikia | Gehege'!$A:$AL,26,FALSE)*($F72)-1*$F72),0)</f>
        <v>240</v>
      </c>
      <c r="K72" s="36">
        <f>IFERROR(IF(VLOOKUP($A72,'Wikia | Gehege'!$A:$AL,26,FALSE)=1,VLOOKUP($A72,'Wikia | Gehege'!$A:$AL,18,FALSE),VLOOKUP($A72,'Wikia | Gehege'!$A:$AL,18,FALSE)+VLOOKUP($A72,'Wikia | Gehege'!$A:$AL,26,FALSE)*($G72)-1*$G72),0)</f>
        <v>0</v>
      </c>
      <c r="L72" s="36">
        <f>IFERROR(IF(VLOOKUP($A72,'Wikia | Gehege'!$A:$AL,26,FALSE)=1,VLOOKUP($A72,'Wikia | Gehege'!$A:$AL,19,FALSE),VLOOKUP($A72,'Wikia | Gehege'!$A:$AL,19,FALSE)+VLOOKUP($A72,'Wikia | Gehege'!$A:$AL,26,FALSE)*($H72)-1*$H72),0)</f>
        <v>220</v>
      </c>
      <c r="M72" s="37">
        <f>IFERROR(IF(VLOOKUP($A72,'Wikia | Gehege'!$A:$AL,26,FALSE)=1,VLOOKUP($A72,'Wikia | Gehege'!$A:$AL,20,FALSE),VLOOKUP($A72,'Wikia | Gehege'!$A:$AL,20,FALSE)+VLOOKUP($A72,'Wikia | Gehege'!$A:$AL,26,FALSE)*($I72)-1*$I72),0)</f>
        <v>0</v>
      </c>
      <c r="N72" s="35">
        <f>IFERROR(IF(VLOOKUP($A72,'Wikia | Gehege'!$A:$AL,27,FALSE)=1,VLOOKUP($A72,'Wikia | Gehege'!$A:$AL,17,FALSE),VLOOKUP($A72,'Wikia | Gehege'!$A:$AL,17,FALSE)+VLOOKUP($A72,'Wikia | Gehege'!$A:$AL,27,FALSE)*($F72)-1*$F72),0)</f>
        <v>330</v>
      </c>
      <c r="O72" s="36">
        <f>IFERROR(IF(VLOOKUP($A72,'Wikia | Gehege'!$A:$AL,27,FALSE)=1,VLOOKUP($A72,'Wikia | Gehege'!$A:$AL,18,FALSE),VLOOKUP($A72,'Wikia | Gehege'!$A:$AL,18,FALSE)+VLOOKUP($A72,'Wikia | Gehege'!$A:$AL,27,FALSE)*($G72)-1*$G72),0)</f>
        <v>0</v>
      </c>
      <c r="P72" s="36">
        <f>IFERROR(IF(VLOOKUP($A72,'Wikia | Gehege'!$A:$AL,27,FALSE)=1,VLOOKUP($A72,'Wikia | Gehege'!$A:$AL,19,FALSE),VLOOKUP($A72,'Wikia | Gehege'!$A:$AL,19,FALSE)+VLOOKUP($A72,'Wikia | Gehege'!$A:$AL,27,FALSE)*($H72)-1*$H72),0)</f>
        <v>290</v>
      </c>
      <c r="Q72" s="37">
        <f>IFERROR(IF(VLOOKUP($A72,'Wikia | Gehege'!$A:$AL,27,FALSE)=1,VLOOKUP($A72,'Wikia | Gehege'!$A:$AL,20,FALSE),VLOOKUP($A72,'Wikia | Gehege'!$A:$AL,20,FALSE)+VLOOKUP($A72,'Wikia | Gehege'!$A:$AL,27,FALSE)*($I72)-1*$I72),0)</f>
        <v>0</v>
      </c>
      <c r="R72" s="87"/>
      <c r="S72" s="94"/>
      <c r="T72" s="38">
        <f>IFERROR(VLOOKUP($A72,'Wikia | Gehege'!$A:$AL,17,FALSE)+(($S72-1)*$F72),0)</f>
        <v>222</v>
      </c>
      <c r="U72" s="38">
        <f>IFERROR(VLOOKUP($A72,'Wikia | Gehege'!$A:$AL,18,FALSE)+(($S72-1)*$G72),0)</f>
        <v>0</v>
      </c>
      <c r="V72" s="38">
        <f>IFERROR(VLOOKUP($A72,'Wikia | Gehege'!$A:$AL,19,FALSE)+(($S72-1)*$H72),0)</f>
        <v>206</v>
      </c>
      <c r="W72" s="85">
        <f>IFERROR(VLOOKUP($A72,'Wikia | Gehege'!$A:$AL,20,FALSE)+(($S72-1)*$I72),0)</f>
        <v>0</v>
      </c>
      <c r="X72" s="87"/>
    </row>
    <row r="73" spans="1:24" ht="35.1" customHeight="1" x14ac:dyDescent="0.2">
      <c r="A73" s="140" t="str">
        <f>'Wikia | Gehege'!A73</f>
        <v>Lama</v>
      </c>
      <c r="B73" s="35">
        <v>600</v>
      </c>
      <c r="C73" s="36">
        <v>0</v>
      </c>
      <c r="D73" s="36">
        <v>0</v>
      </c>
      <c r="E73" s="37">
        <v>0</v>
      </c>
      <c r="F73" s="35">
        <f>IFERROR(B73-VLOOKUP($A73,'Wikia | Gehege'!$A:$AL,17,FALSE),0)</f>
        <v>50</v>
      </c>
      <c r="G73" s="36">
        <f>IFERROR(C73-VLOOKUP($A73,'Wikia | Gehege'!$A:$AL,18,FALSE),0)</f>
        <v>0</v>
      </c>
      <c r="H73" s="36">
        <f>IFERROR(D73-VLOOKUP($A73,'Wikia | Gehege'!$A:$AL,19,FALSE),0)</f>
        <v>0</v>
      </c>
      <c r="I73" s="37">
        <f>IFERROR(E73-VLOOKUP($A73,'Wikia | Gehege'!$A:$AL,20,FALSE),0)</f>
        <v>0</v>
      </c>
      <c r="J73" s="35">
        <f>IFERROR(IF(VLOOKUP($A73,'Wikia | Gehege'!$A:$AL,26,FALSE)=1,VLOOKUP($A73,'Wikia | Gehege'!$A:$AL,17,FALSE),VLOOKUP($A73,'Wikia | Gehege'!$A:$AL,17,FALSE)+VLOOKUP($A73,'Wikia | Gehege'!$A:$AL,26,FALSE)*($F73)-1*$F73),0)</f>
        <v>600</v>
      </c>
      <c r="K73" s="36">
        <f>IFERROR(IF(VLOOKUP($A73,'Wikia | Gehege'!$A:$AL,26,FALSE)=1,VLOOKUP($A73,'Wikia | Gehege'!$A:$AL,18,FALSE),VLOOKUP($A73,'Wikia | Gehege'!$A:$AL,18,FALSE)+VLOOKUP($A73,'Wikia | Gehege'!$A:$AL,26,FALSE)*($G73)-1*$G73),0)</f>
        <v>0</v>
      </c>
      <c r="L73" s="36">
        <f>IFERROR(IF(VLOOKUP($A73,'Wikia | Gehege'!$A:$AL,26,FALSE)=1,VLOOKUP($A73,'Wikia | Gehege'!$A:$AL,19,FALSE),VLOOKUP($A73,'Wikia | Gehege'!$A:$AL,19,FALSE)+VLOOKUP($A73,'Wikia | Gehege'!$A:$AL,26,FALSE)*($H73)-1*$H73),0)</f>
        <v>0</v>
      </c>
      <c r="M73" s="37">
        <f>IFERROR(IF(VLOOKUP($A73,'Wikia | Gehege'!$A:$AL,26,FALSE)=1,VLOOKUP($A73,'Wikia | Gehege'!$A:$AL,20,FALSE),VLOOKUP($A73,'Wikia | Gehege'!$A:$AL,20,FALSE)+VLOOKUP($A73,'Wikia | Gehege'!$A:$AL,26,FALSE)*($I73)-1*$I73),0)</f>
        <v>0</v>
      </c>
      <c r="N73" s="35">
        <f>IFERROR(IF(VLOOKUP($A73,'Wikia | Gehege'!$A:$AL,27,FALSE)=1,VLOOKUP($A73,'Wikia | Gehege'!$A:$AL,17,FALSE),VLOOKUP($A73,'Wikia | Gehege'!$A:$AL,17,FALSE)+VLOOKUP($A73,'Wikia | Gehege'!$A:$AL,27,FALSE)*($F73)-1*$F73),0)</f>
        <v>2000</v>
      </c>
      <c r="O73" s="36">
        <f>IFERROR(IF(VLOOKUP($A73,'Wikia | Gehege'!$A:$AL,27,FALSE)=1,VLOOKUP($A73,'Wikia | Gehege'!$A:$AL,18,FALSE),VLOOKUP($A73,'Wikia | Gehege'!$A:$AL,18,FALSE)+VLOOKUP($A73,'Wikia | Gehege'!$A:$AL,27,FALSE)*($G73)-1*$G73),0)</f>
        <v>0</v>
      </c>
      <c r="P73" s="36">
        <f>IFERROR(IF(VLOOKUP($A73,'Wikia | Gehege'!$A:$AL,27,FALSE)=1,VLOOKUP($A73,'Wikia | Gehege'!$A:$AL,19,FALSE),VLOOKUP($A73,'Wikia | Gehege'!$A:$AL,19,FALSE)+VLOOKUP($A73,'Wikia | Gehege'!$A:$AL,27,FALSE)*($H73)-1*$H73),0)</f>
        <v>0</v>
      </c>
      <c r="Q73" s="37">
        <f>IFERROR(IF(VLOOKUP($A73,'Wikia | Gehege'!$A:$AL,27,FALSE)=1,VLOOKUP($A73,'Wikia | Gehege'!$A:$AL,20,FALSE),VLOOKUP($A73,'Wikia | Gehege'!$A:$AL,20,FALSE)+VLOOKUP($A73,'Wikia | Gehege'!$A:$AL,27,FALSE)*($I73)-1*$I73),0)</f>
        <v>0</v>
      </c>
      <c r="R73" s="87"/>
      <c r="S73" s="94"/>
      <c r="T73" s="38">
        <f>IFERROR(VLOOKUP($A73,'Wikia | Gehege'!$A:$AL,17,FALSE)+(($S73-1)*$F73),0)</f>
        <v>500</v>
      </c>
      <c r="U73" s="38">
        <f>IFERROR(VLOOKUP($A73,'Wikia | Gehege'!$A:$AL,18,FALSE)+(($S73-1)*$G73),0)</f>
        <v>0</v>
      </c>
      <c r="V73" s="38">
        <f>IFERROR(VLOOKUP($A73,'Wikia | Gehege'!$A:$AL,19,FALSE)+(($S73-1)*$H73),0)</f>
        <v>0</v>
      </c>
      <c r="W73" s="85">
        <f>IFERROR(VLOOKUP($A73,'Wikia | Gehege'!$A:$AL,20,FALSE)+(($S73-1)*$I73),0)</f>
        <v>0</v>
      </c>
      <c r="X73" s="87"/>
    </row>
    <row r="74" spans="1:24" ht="35.1" customHeight="1" x14ac:dyDescent="0.2">
      <c r="A74" s="140" t="str">
        <f>'Wikia | Gehege'!A74</f>
        <v xml:space="preserve">Leistenkrokodil </v>
      </c>
      <c r="B74" s="35">
        <v>260</v>
      </c>
      <c r="C74" s="36">
        <v>0</v>
      </c>
      <c r="D74" s="36">
        <v>315</v>
      </c>
      <c r="E74" s="37">
        <v>0</v>
      </c>
      <c r="F74" s="35">
        <f>IFERROR(B74-VLOOKUP($A74,'Wikia | Gehege'!$A:$AL,17,FALSE),0)</f>
        <v>50</v>
      </c>
      <c r="G74" s="36">
        <f>IFERROR(C74-VLOOKUP($A74,'Wikia | Gehege'!$A:$AL,18,FALSE),0)</f>
        <v>0</v>
      </c>
      <c r="H74" s="36">
        <f>IFERROR(D74-VLOOKUP($A74,'Wikia | Gehege'!$A:$AL,19,FALSE),0)</f>
        <v>105</v>
      </c>
      <c r="I74" s="37">
        <f>IFERROR(E74-VLOOKUP($A74,'Wikia | Gehege'!$A:$AL,20,FALSE),0)</f>
        <v>0</v>
      </c>
      <c r="J74" s="35">
        <f>IFERROR(IF(VLOOKUP($A74,'Wikia | Gehege'!$A:$AL,26,FALSE)=1,VLOOKUP($A74,'Wikia | Gehege'!$A:$AL,17,FALSE),VLOOKUP($A74,'Wikia | Gehege'!$A:$AL,17,FALSE)+VLOOKUP($A74,'Wikia | Gehege'!$A:$AL,26,FALSE)*($F74)-1*$F74),0)</f>
        <v>210</v>
      </c>
      <c r="K74" s="36">
        <f>IFERROR(IF(VLOOKUP($A74,'Wikia | Gehege'!$A:$AL,26,FALSE)=1,VLOOKUP($A74,'Wikia | Gehege'!$A:$AL,18,FALSE),VLOOKUP($A74,'Wikia | Gehege'!$A:$AL,18,FALSE)+VLOOKUP($A74,'Wikia | Gehege'!$A:$AL,26,FALSE)*($G74)-1*$G74),0)</f>
        <v>0</v>
      </c>
      <c r="L74" s="36">
        <f>IFERROR(IF(VLOOKUP($A74,'Wikia | Gehege'!$A:$AL,26,FALSE)=1,VLOOKUP($A74,'Wikia | Gehege'!$A:$AL,19,FALSE),VLOOKUP($A74,'Wikia | Gehege'!$A:$AL,19,FALSE)+VLOOKUP($A74,'Wikia | Gehege'!$A:$AL,26,FALSE)*($H74)-1*$H74),0)</f>
        <v>210</v>
      </c>
      <c r="M74" s="37">
        <f>IFERROR(IF(VLOOKUP($A74,'Wikia | Gehege'!$A:$AL,26,FALSE)=1,VLOOKUP($A74,'Wikia | Gehege'!$A:$AL,20,FALSE),VLOOKUP($A74,'Wikia | Gehege'!$A:$AL,20,FALSE)+VLOOKUP($A74,'Wikia | Gehege'!$A:$AL,26,FALSE)*($I74)-1*$I74),0)</f>
        <v>0</v>
      </c>
      <c r="N74" s="35">
        <f>IFERROR(IF(VLOOKUP($A74,'Wikia | Gehege'!$A:$AL,27,FALSE)=1,VLOOKUP($A74,'Wikia | Gehege'!$A:$AL,17,FALSE),VLOOKUP($A74,'Wikia | Gehege'!$A:$AL,17,FALSE)+VLOOKUP($A74,'Wikia | Gehege'!$A:$AL,27,FALSE)*($F74)-1*$F74),0)</f>
        <v>260</v>
      </c>
      <c r="O74" s="36">
        <f>IFERROR(IF(VLOOKUP($A74,'Wikia | Gehege'!$A:$AL,27,FALSE)=1,VLOOKUP($A74,'Wikia | Gehege'!$A:$AL,18,FALSE),VLOOKUP($A74,'Wikia | Gehege'!$A:$AL,18,FALSE)+VLOOKUP($A74,'Wikia | Gehege'!$A:$AL,27,FALSE)*($G74)-1*$G74),0)</f>
        <v>0</v>
      </c>
      <c r="P74" s="36">
        <f>IFERROR(IF(VLOOKUP($A74,'Wikia | Gehege'!$A:$AL,27,FALSE)=1,VLOOKUP($A74,'Wikia | Gehege'!$A:$AL,19,FALSE),VLOOKUP($A74,'Wikia | Gehege'!$A:$AL,19,FALSE)+VLOOKUP($A74,'Wikia | Gehege'!$A:$AL,27,FALSE)*($H74)-1*$H74),0)</f>
        <v>315</v>
      </c>
      <c r="Q74" s="37">
        <f>IFERROR(IF(VLOOKUP($A74,'Wikia | Gehege'!$A:$AL,27,FALSE)=1,VLOOKUP($A74,'Wikia | Gehege'!$A:$AL,20,FALSE),VLOOKUP($A74,'Wikia | Gehege'!$A:$AL,20,FALSE)+VLOOKUP($A74,'Wikia | Gehege'!$A:$AL,27,FALSE)*($I74)-1*$I74),0)</f>
        <v>0</v>
      </c>
      <c r="R74" s="87"/>
      <c r="S74" s="94"/>
      <c r="T74" s="38">
        <f>IFERROR(VLOOKUP($A74,'Wikia | Gehege'!$A:$AL,17,FALSE)+(($S74-1)*$F74),0)</f>
        <v>160</v>
      </c>
      <c r="U74" s="38">
        <f>IFERROR(VLOOKUP($A74,'Wikia | Gehege'!$A:$AL,18,FALSE)+(($S74-1)*$G74),0)</f>
        <v>0</v>
      </c>
      <c r="V74" s="38">
        <f>IFERROR(VLOOKUP($A74,'Wikia | Gehege'!$A:$AL,19,FALSE)+(($S74-1)*$H74),0)</f>
        <v>105</v>
      </c>
      <c r="W74" s="85">
        <f>IFERROR(VLOOKUP($A74,'Wikia | Gehege'!$A:$AL,20,FALSE)+(($S74-1)*$I74),0)</f>
        <v>0</v>
      </c>
      <c r="X74" s="87"/>
    </row>
    <row r="75" spans="1:24" ht="35.1" customHeight="1" x14ac:dyDescent="0.2">
      <c r="A75" s="140" t="str">
        <f>'Wikia | Gehege'!A75</f>
        <v>Lippenbär</v>
      </c>
      <c r="B75" s="35">
        <v>930</v>
      </c>
      <c r="C75" s="36">
        <v>56</v>
      </c>
      <c r="D75" s="36">
        <v>0</v>
      </c>
      <c r="E75" s="37">
        <v>0</v>
      </c>
      <c r="F75" s="35">
        <f>IFERROR(B75-VLOOKUP($A75,'Wikia | Gehege'!$A:$AL,17,FALSE),0)</f>
        <v>80</v>
      </c>
      <c r="G75" s="36">
        <f>IFERROR(C75-VLOOKUP($A75,'Wikia | Gehege'!$A:$AL,18,FALSE),0)</f>
        <v>16</v>
      </c>
      <c r="H75" s="36">
        <f>IFERROR(D75-VLOOKUP($A75,'Wikia | Gehege'!$A:$AL,19,FALSE),0)</f>
        <v>0</v>
      </c>
      <c r="I75" s="37">
        <f>IFERROR(E75-VLOOKUP($A75,'Wikia | Gehege'!$A:$AL,20,FALSE),0)</f>
        <v>0</v>
      </c>
      <c r="J75" s="35">
        <f>IFERROR(IF(VLOOKUP($A75,'Wikia | Gehege'!$A:$AL,26,FALSE)=1,VLOOKUP($A75,'Wikia | Gehege'!$A:$AL,17,FALSE),VLOOKUP($A75,'Wikia | Gehege'!$A:$AL,17,FALSE)+VLOOKUP($A75,'Wikia | Gehege'!$A:$AL,26,FALSE)*($F75)-1*$F75),0)</f>
        <v>850</v>
      </c>
      <c r="K75" s="36">
        <f>IFERROR(IF(VLOOKUP($A75,'Wikia | Gehege'!$A:$AL,26,FALSE)=1,VLOOKUP($A75,'Wikia | Gehege'!$A:$AL,18,FALSE),VLOOKUP($A75,'Wikia | Gehege'!$A:$AL,18,FALSE)+VLOOKUP($A75,'Wikia | Gehege'!$A:$AL,26,FALSE)*($G75)-1*$G75),0)</f>
        <v>40</v>
      </c>
      <c r="L75" s="36">
        <f>IFERROR(IF(VLOOKUP($A75,'Wikia | Gehege'!$A:$AL,26,FALSE)=1,VLOOKUP($A75,'Wikia | Gehege'!$A:$AL,19,FALSE),VLOOKUP($A75,'Wikia | Gehege'!$A:$AL,19,FALSE)+VLOOKUP($A75,'Wikia | Gehege'!$A:$AL,26,FALSE)*($H75)-1*$H75),0)</f>
        <v>0</v>
      </c>
      <c r="M75" s="37">
        <f>IFERROR(IF(VLOOKUP($A75,'Wikia | Gehege'!$A:$AL,26,FALSE)=1,VLOOKUP($A75,'Wikia | Gehege'!$A:$AL,20,FALSE),VLOOKUP($A75,'Wikia | Gehege'!$A:$AL,20,FALSE)+VLOOKUP($A75,'Wikia | Gehege'!$A:$AL,26,FALSE)*($I75)-1*$I75),0)</f>
        <v>0</v>
      </c>
      <c r="N75" s="35">
        <f>IFERROR(IF(VLOOKUP($A75,'Wikia | Gehege'!$A:$AL,27,FALSE)=1,VLOOKUP($A75,'Wikia | Gehege'!$A:$AL,17,FALSE),VLOOKUP($A75,'Wikia | Gehege'!$A:$AL,17,FALSE)+VLOOKUP($A75,'Wikia | Gehege'!$A:$AL,27,FALSE)*($F75)-1*$F75),0)</f>
        <v>930</v>
      </c>
      <c r="O75" s="36">
        <f>IFERROR(IF(VLOOKUP($A75,'Wikia | Gehege'!$A:$AL,27,FALSE)=1,VLOOKUP($A75,'Wikia | Gehege'!$A:$AL,18,FALSE),VLOOKUP($A75,'Wikia | Gehege'!$A:$AL,18,FALSE)+VLOOKUP($A75,'Wikia | Gehege'!$A:$AL,27,FALSE)*($G75)-1*$G75),0)</f>
        <v>56</v>
      </c>
      <c r="P75" s="36">
        <f>IFERROR(IF(VLOOKUP($A75,'Wikia | Gehege'!$A:$AL,27,FALSE)=1,VLOOKUP($A75,'Wikia | Gehege'!$A:$AL,19,FALSE),VLOOKUP($A75,'Wikia | Gehege'!$A:$AL,19,FALSE)+VLOOKUP($A75,'Wikia | Gehege'!$A:$AL,27,FALSE)*($H75)-1*$H75),0)</f>
        <v>0</v>
      </c>
      <c r="Q75" s="37">
        <f>IFERROR(IF(VLOOKUP($A75,'Wikia | Gehege'!$A:$AL,27,FALSE)=1,VLOOKUP($A75,'Wikia | Gehege'!$A:$AL,20,FALSE),VLOOKUP($A75,'Wikia | Gehege'!$A:$AL,20,FALSE)+VLOOKUP($A75,'Wikia | Gehege'!$A:$AL,27,FALSE)*($I75)-1*$I75),0)</f>
        <v>0</v>
      </c>
      <c r="R75" s="87"/>
      <c r="S75" s="94"/>
      <c r="T75" s="38">
        <f>IFERROR(VLOOKUP($A75,'Wikia | Gehege'!$A:$AL,17,FALSE)+(($S75-1)*$F75),0)</f>
        <v>770</v>
      </c>
      <c r="U75" s="38">
        <f>IFERROR(VLOOKUP($A75,'Wikia | Gehege'!$A:$AL,18,FALSE)+(($S75-1)*$G75),0)</f>
        <v>24</v>
      </c>
      <c r="V75" s="38">
        <f>IFERROR(VLOOKUP($A75,'Wikia | Gehege'!$A:$AL,19,FALSE)+(($S75-1)*$H75),0)</f>
        <v>0</v>
      </c>
      <c r="W75" s="85">
        <f>IFERROR(VLOOKUP($A75,'Wikia | Gehege'!$A:$AL,20,FALSE)+(($S75-1)*$I75),0)</f>
        <v>0</v>
      </c>
      <c r="X75" s="87"/>
    </row>
    <row r="76" spans="1:24" ht="35.1" customHeight="1" x14ac:dyDescent="0.2">
      <c r="A76" s="140" t="str">
        <f>'Wikia | Gehege'!A76</f>
        <v>Mähnenwolf</v>
      </c>
      <c r="B76" s="35">
        <v>1240</v>
      </c>
      <c r="C76" s="36">
        <v>0</v>
      </c>
      <c r="D76" s="36">
        <v>0</v>
      </c>
      <c r="E76" s="37">
        <v>0</v>
      </c>
      <c r="F76" s="35">
        <f>IFERROR(B76-VLOOKUP($A76,'Wikia | Gehege'!$A:$AL,17,FALSE),0)</f>
        <v>310</v>
      </c>
      <c r="G76" s="36">
        <f>IFERROR(C76-VLOOKUP($A76,'Wikia | Gehege'!$A:$AL,18,FALSE),0)</f>
        <v>0</v>
      </c>
      <c r="H76" s="36">
        <f>IFERROR(D76-VLOOKUP($A76,'Wikia | Gehege'!$A:$AL,19,FALSE),0)</f>
        <v>0</v>
      </c>
      <c r="I76" s="37">
        <f>IFERROR(E76-VLOOKUP($A76,'Wikia | Gehege'!$A:$AL,20,FALSE),0)</f>
        <v>0</v>
      </c>
      <c r="J76" s="35">
        <f>IFERROR(IF(VLOOKUP($A76,'Wikia | Gehege'!$A:$AL,26,FALSE)=1,VLOOKUP($A76,'Wikia | Gehege'!$A:$AL,17,FALSE),VLOOKUP($A76,'Wikia | Gehege'!$A:$AL,17,FALSE)+VLOOKUP($A76,'Wikia | Gehege'!$A:$AL,26,FALSE)*($F76)-1*$F76),0)</f>
        <v>930</v>
      </c>
      <c r="K76" s="36">
        <f>IFERROR(IF(VLOOKUP($A76,'Wikia | Gehege'!$A:$AL,26,FALSE)=1,VLOOKUP($A76,'Wikia | Gehege'!$A:$AL,18,FALSE),VLOOKUP($A76,'Wikia | Gehege'!$A:$AL,18,FALSE)+VLOOKUP($A76,'Wikia | Gehege'!$A:$AL,26,FALSE)*($G76)-1*$G76),0)</f>
        <v>0</v>
      </c>
      <c r="L76" s="36">
        <f>IFERROR(IF(VLOOKUP($A76,'Wikia | Gehege'!$A:$AL,26,FALSE)=1,VLOOKUP($A76,'Wikia | Gehege'!$A:$AL,19,FALSE),VLOOKUP($A76,'Wikia | Gehege'!$A:$AL,19,FALSE)+VLOOKUP($A76,'Wikia | Gehege'!$A:$AL,26,FALSE)*($H76)-1*$H76),0)</f>
        <v>0</v>
      </c>
      <c r="M76" s="37">
        <f>IFERROR(IF(VLOOKUP($A76,'Wikia | Gehege'!$A:$AL,26,FALSE)=1,VLOOKUP($A76,'Wikia | Gehege'!$A:$AL,20,FALSE),VLOOKUP($A76,'Wikia | Gehege'!$A:$AL,20,FALSE)+VLOOKUP($A76,'Wikia | Gehege'!$A:$AL,26,FALSE)*($I76)-1*$I76),0)</f>
        <v>0</v>
      </c>
      <c r="N76" s="35">
        <f>IFERROR(IF(VLOOKUP($A76,'Wikia | Gehege'!$A:$AL,27,FALSE)=1,VLOOKUP($A76,'Wikia | Gehege'!$A:$AL,17,FALSE),VLOOKUP($A76,'Wikia | Gehege'!$A:$AL,17,FALSE)+VLOOKUP($A76,'Wikia | Gehege'!$A:$AL,27,FALSE)*($F76)-1*$F76),0)</f>
        <v>1240</v>
      </c>
      <c r="O76" s="36">
        <f>IFERROR(IF(VLOOKUP($A76,'Wikia | Gehege'!$A:$AL,27,FALSE)=1,VLOOKUP($A76,'Wikia | Gehege'!$A:$AL,18,FALSE),VLOOKUP($A76,'Wikia | Gehege'!$A:$AL,18,FALSE)+VLOOKUP($A76,'Wikia | Gehege'!$A:$AL,27,FALSE)*($G76)-1*$G76),0)</f>
        <v>0</v>
      </c>
      <c r="P76" s="36">
        <f>IFERROR(IF(VLOOKUP($A76,'Wikia | Gehege'!$A:$AL,27,FALSE)=1,VLOOKUP($A76,'Wikia | Gehege'!$A:$AL,19,FALSE),VLOOKUP($A76,'Wikia | Gehege'!$A:$AL,19,FALSE)+VLOOKUP($A76,'Wikia | Gehege'!$A:$AL,27,FALSE)*($H76)-1*$H76),0)</f>
        <v>0</v>
      </c>
      <c r="Q76" s="37">
        <f>IFERROR(IF(VLOOKUP($A76,'Wikia | Gehege'!$A:$AL,27,FALSE)=1,VLOOKUP($A76,'Wikia | Gehege'!$A:$AL,20,FALSE),VLOOKUP($A76,'Wikia | Gehege'!$A:$AL,20,FALSE)+VLOOKUP($A76,'Wikia | Gehege'!$A:$AL,27,FALSE)*($I76)-1*$I76),0)</f>
        <v>0</v>
      </c>
      <c r="R76" s="87"/>
      <c r="S76" s="94"/>
      <c r="T76" s="38">
        <f>IFERROR(VLOOKUP($A76,'Wikia | Gehege'!$A:$AL,17,FALSE)+(($S76-1)*$F76),0)</f>
        <v>620</v>
      </c>
      <c r="U76" s="38">
        <f>IFERROR(VLOOKUP($A76,'Wikia | Gehege'!$A:$AL,18,FALSE)+(($S76-1)*$G76),0)</f>
        <v>0</v>
      </c>
      <c r="V76" s="38">
        <f>IFERROR(VLOOKUP($A76,'Wikia | Gehege'!$A:$AL,19,FALSE)+(($S76-1)*$H76),0)</f>
        <v>0</v>
      </c>
      <c r="W76" s="85">
        <f>IFERROR(VLOOKUP($A76,'Wikia | Gehege'!$A:$AL,20,FALSE)+(($S76-1)*$I76),0)</f>
        <v>0</v>
      </c>
      <c r="X76" s="87"/>
    </row>
    <row r="77" spans="1:24" ht="35.1" customHeight="1" x14ac:dyDescent="0.2">
      <c r="A77" s="140" t="str">
        <f>'Wikia | Gehege'!A77</f>
        <v>Malaysischer Tapir</v>
      </c>
      <c r="B77" s="35">
        <v>486</v>
      </c>
      <c r="C77" s="36">
        <v>0</v>
      </c>
      <c r="D77" s="36">
        <v>56</v>
      </c>
      <c r="E77" s="37">
        <v>0</v>
      </c>
      <c r="F77" s="35">
        <f>IFERROR(B77-VLOOKUP($A77,'Wikia | Gehege'!$A:$AL,17,FALSE),0)</f>
        <v>56</v>
      </c>
      <c r="G77" s="36">
        <f>IFERROR(C77-VLOOKUP($A77,'Wikia | Gehege'!$A:$AL,18,FALSE),0)</f>
        <v>0</v>
      </c>
      <c r="H77" s="36">
        <f>IFERROR(D77-VLOOKUP($A77,'Wikia | Gehege'!$A:$AL,19,FALSE),0)</f>
        <v>19</v>
      </c>
      <c r="I77" s="37">
        <f>IFERROR(E77-VLOOKUP($A77,'Wikia | Gehege'!$A:$AL,20,FALSE),0)</f>
        <v>0</v>
      </c>
      <c r="J77" s="35">
        <f>IFERROR(IF(VLOOKUP($A77,'Wikia | Gehege'!$A:$AL,26,FALSE)=1,VLOOKUP($A77,'Wikia | Gehege'!$A:$AL,17,FALSE),VLOOKUP($A77,'Wikia | Gehege'!$A:$AL,17,FALSE)+VLOOKUP($A77,'Wikia | Gehege'!$A:$AL,26,FALSE)*($F77)-1*$F77),0)</f>
        <v>430</v>
      </c>
      <c r="K77" s="36">
        <f>IFERROR(IF(VLOOKUP($A77,'Wikia | Gehege'!$A:$AL,26,FALSE)=1,VLOOKUP($A77,'Wikia | Gehege'!$A:$AL,18,FALSE),VLOOKUP($A77,'Wikia | Gehege'!$A:$AL,18,FALSE)+VLOOKUP($A77,'Wikia | Gehege'!$A:$AL,26,FALSE)*($G77)-1*$G77),0)</f>
        <v>0</v>
      </c>
      <c r="L77" s="36">
        <f>IFERROR(IF(VLOOKUP($A77,'Wikia | Gehege'!$A:$AL,26,FALSE)=1,VLOOKUP($A77,'Wikia | Gehege'!$A:$AL,19,FALSE),VLOOKUP($A77,'Wikia | Gehege'!$A:$AL,19,FALSE)+VLOOKUP($A77,'Wikia | Gehege'!$A:$AL,26,FALSE)*($H77)-1*$H77),0)</f>
        <v>37</v>
      </c>
      <c r="M77" s="37">
        <f>IFERROR(IF(VLOOKUP($A77,'Wikia | Gehege'!$A:$AL,26,FALSE)=1,VLOOKUP($A77,'Wikia | Gehege'!$A:$AL,20,FALSE),VLOOKUP($A77,'Wikia | Gehege'!$A:$AL,20,FALSE)+VLOOKUP($A77,'Wikia | Gehege'!$A:$AL,26,FALSE)*($I77)-1*$I77),0)</f>
        <v>0</v>
      </c>
      <c r="N77" s="35">
        <f>IFERROR(IF(VLOOKUP($A77,'Wikia | Gehege'!$A:$AL,27,FALSE)=1,VLOOKUP($A77,'Wikia | Gehege'!$A:$AL,17,FALSE),VLOOKUP($A77,'Wikia | Gehege'!$A:$AL,17,FALSE)+VLOOKUP($A77,'Wikia | Gehege'!$A:$AL,27,FALSE)*($F77)-1*$F77),0)</f>
        <v>486</v>
      </c>
      <c r="O77" s="36">
        <f>IFERROR(IF(VLOOKUP($A77,'Wikia | Gehege'!$A:$AL,27,FALSE)=1,VLOOKUP($A77,'Wikia | Gehege'!$A:$AL,18,FALSE),VLOOKUP($A77,'Wikia | Gehege'!$A:$AL,18,FALSE)+VLOOKUP($A77,'Wikia | Gehege'!$A:$AL,27,FALSE)*($G77)-1*$G77),0)</f>
        <v>0</v>
      </c>
      <c r="P77" s="36">
        <f>IFERROR(IF(VLOOKUP($A77,'Wikia | Gehege'!$A:$AL,27,FALSE)=1,VLOOKUP($A77,'Wikia | Gehege'!$A:$AL,19,FALSE),VLOOKUP($A77,'Wikia | Gehege'!$A:$AL,19,FALSE)+VLOOKUP($A77,'Wikia | Gehege'!$A:$AL,27,FALSE)*($H77)-1*$H77),0)</f>
        <v>56</v>
      </c>
      <c r="Q77" s="37">
        <f>IFERROR(IF(VLOOKUP($A77,'Wikia | Gehege'!$A:$AL,27,FALSE)=1,VLOOKUP($A77,'Wikia | Gehege'!$A:$AL,20,FALSE),VLOOKUP($A77,'Wikia | Gehege'!$A:$AL,20,FALSE)+VLOOKUP($A77,'Wikia | Gehege'!$A:$AL,27,FALSE)*($I77)-1*$I77),0)</f>
        <v>0</v>
      </c>
      <c r="R77" s="87"/>
      <c r="S77" s="94"/>
      <c r="T77" s="38">
        <f>IFERROR(VLOOKUP($A77,'Wikia | Gehege'!$A:$AL,17,FALSE)+(($S77-1)*$F77),0)</f>
        <v>374</v>
      </c>
      <c r="U77" s="38">
        <f>IFERROR(VLOOKUP($A77,'Wikia | Gehege'!$A:$AL,18,FALSE)+(($S77-1)*$G77),0)</f>
        <v>0</v>
      </c>
      <c r="V77" s="38">
        <f>IFERROR(VLOOKUP($A77,'Wikia | Gehege'!$A:$AL,19,FALSE)+(($S77-1)*$H77),0)</f>
        <v>18</v>
      </c>
      <c r="W77" s="85">
        <f>IFERROR(VLOOKUP($A77,'Wikia | Gehege'!$A:$AL,20,FALSE)+(($S77-1)*$I77),0)</f>
        <v>0</v>
      </c>
      <c r="X77" s="87"/>
    </row>
    <row r="78" spans="1:24" ht="35.1" customHeight="1" x14ac:dyDescent="0.2">
      <c r="A78" s="140" t="str">
        <f>'Wikia | Gehege'!A78</f>
        <v xml:space="preserve">Mandrill </v>
      </c>
      <c r="B78" s="35">
        <v>408</v>
      </c>
      <c r="C78" s="36">
        <v>48</v>
      </c>
      <c r="D78" s="36">
        <v>0</v>
      </c>
      <c r="E78" s="37">
        <v>0</v>
      </c>
      <c r="F78" s="35">
        <f>IFERROR(B78-VLOOKUP($A78,'Wikia | Gehege'!$A:$AL,17,FALSE),0)</f>
        <v>8</v>
      </c>
      <c r="G78" s="36">
        <f>IFERROR(C78-VLOOKUP($A78,'Wikia | Gehege'!$A:$AL,18,FALSE),0)</f>
        <v>8</v>
      </c>
      <c r="H78" s="36">
        <f>IFERROR(D78-VLOOKUP($A78,'Wikia | Gehege'!$A:$AL,19,FALSE),0)</f>
        <v>0</v>
      </c>
      <c r="I78" s="37">
        <f>IFERROR(E78-VLOOKUP($A78,'Wikia | Gehege'!$A:$AL,20,FALSE),0)</f>
        <v>0</v>
      </c>
      <c r="J78" s="35">
        <f>IFERROR(IF(VLOOKUP($A78,'Wikia | Gehege'!$A:$AL,26,FALSE)=1,VLOOKUP($A78,'Wikia | Gehege'!$A:$AL,17,FALSE),VLOOKUP($A78,'Wikia | Gehege'!$A:$AL,17,FALSE)+VLOOKUP($A78,'Wikia | Gehege'!$A:$AL,26,FALSE)*($F78)-1*$F78),0)</f>
        <v>432</v>
      </c>
      <c r="K78" s="36">
        <f>IFERROR(IF(VLOOKUP($A78,'Wikia | Gehege'!$A:$AL,26,FALSE)=1,VLOOKUP($A78,'Wikia | Gehege'!$A:$AL,18,FALSE),VLOOKUP($A78,'Wikia | Gehege'!$A:$AL,18,FALSE)+VLOOKUP($A78,'Wikia | Gehege'!$A:$AL,26,FALSE)*($G78)-1*$G78),0)</f>
        <v>72</v>
      </c>
      <c r="L78" s="36">
        <f>IFERROR(IF(VLOOKUP($A78,'Wikia | Gehege'!$A:$AL,26,FALSE)=1,VLOOKUP($A78,'Wikia | Gehege'!$A:$AL,19,FALSE),VLOOKUP($A78,'Wikia | Gehege'!$A:$AL,19,FALSE)+VLOOKUP($A78,'Wikia | Gehege'!$A:$AL,26,FALSE)*($H78)-1*$H78),0)</f>
        <v>0</v>
      </c>
      <c r="M78" s="37">
        <f>IFERROR(IF(VLOOKUP($A78,'Wikia | Gehege'!$A:$AL,26,FALSE)=1,VLOOKUP($A78,'Wikia | Gehege'!$A:$AL,20,FALSE),VLOOKUP($A78,'Wikia | Gehege'!$A:$AL,20,FALSE)+VLOOKUP($A78,'Wikia | Gehege'!$A:$AL,26,FALSE)*($I78)-1*$I78),0)</f>
        <v>0</v>
      </c>
      <c r="N78" s="35">
        <f>IFERROR(IF(VLOOKUP($A78,'Wikia | Gehege'!$A:$AL,27,FALSE)=1,VLOOKUP($A78,'Wikia | Gehege'!$A:$AL,17,FALSE),VLOOKUP($A78,'Wikia | Gehege'!$A:$AL,17,FALSE)+VLOOKUP($A78,'Wikia | Gehege'!$A:$AL,27,FALSE)*($F78)-1*$F78),0)</f>
        <v>472</v>
      </c>
      <c r="O78" s="36">
        <f>IFERROR(IF(VLOOKUP($A78,'Wikia | Gehege'!$A:$AL,27,FALSE)=1,VLOOKUP($A78,'Wikia | Gehege'!$A:$AL,18,FALSE),VLOOKUP($A78,'Wikia | Gehege'!$A:$AL,18,FALSE)+VLOOKUP($A78,'Wikia | Gehege'!$A:$AL,27,FALSE)*($G78)-1*$G78),0)</f>
        <v>112</v>
      </c>
      <c r="P78" s="36">
        <f>IFERROR(IF(VLOOKUP($A78,'Wikia | Gehege'!$A:$AL,27,FALSE)=1,VLOOKUP($A78,'Wikia | Gehege'!$A:$AL,19,FALSE),VLOOKUP($A78,'Wikia | Gehege'!$A:$AL,19,FALSE)+VLOOKUP($A78,'Wikia | Gehege'!$A:$AL,27,FALSE)*($H78)-1*$H78),0)</f>
        <v>0</v>
      </c>
      <c r="Q78" s="37">
        <f>IFERROR(IF(VLOOKUP($A78,'Wikia | Gehege'!$A:$AL,27,FALSE)=1,VLOOKUP($A78,'Wikia | Gehege'!$A:$AL,20,FALSE),VLOOKUP($A78,'Wikia | Gehege'!$A:$AL,20,FALSE)+VLOOKUP($A78,'Wikia | Gehege'!$A:$AL,27,FALSE)*($I78)-1*$I78),0)</f>
        <v>0</v>
      </c>
      <c r="R78" s="87"/>
      <c r="S78" s="94"/>
      <c r="T78" s="38">
        <f>IFERROR(VLOOKUP($A78,'Wikia | Gehege'!$A:$AL,17,FALSE)+(($S78-1)*$F78),0)</f>
        <v>392</v>
      </c>
      <c r="U78" s="38">
        <f>IFERROR(VLOOKUP($A78,'Wikia | Gehege'!$A:$AL,18,FALSE)+(($S78-1)*$G78),0)</f>
        <v>32</v>
      </c>
      <c r="V78" s="38">
        <f>IFERROR(VLOOKUP($A78,'Wikia | Gehege'!$A:$AL,19,FALSE)+(($S78-1)*$H78),0)</f>
        <v>0</v>
      </c>
      <c r="W78" s="85">
        <f>IFERROR(VLOOKUP($A78,'Wikia | Gehege'!$A:$AL,20,FALSE)+(($S78-1)*$I78),0)</f>
        <v>0</v>
      </c>
      <c r="X78" s="87"/>
    </row>
    <row r="79" spans="1:24" ht="35.1" customHeight="1" x14ac:dyDescent="0.2">
      <c r="A79" s="140" t="str">
        <f>'Wikia | Gehege'!A79</f>
        <v>Mandschurenkranich</v>
      </c>
      <c r="B79" s="35">
        <v>315</v>
      </c>
      <c r="C79" s="36">
        <v>0</v>
      </c>
      <c r="D79" s="36">
        <v>84</v>
      </c>
      <c r="E79" s="37">
        <v>0</v>
      </c>
      <c r="F79" s="35">
        <f>IFERROR(B79-VLOOKUP($A79,'Wikia | Gehege'!$A:$AL,17,FALSE),0)</f>
        <v>15</v>
      </c>
      <c r="G79" s="36">
        <f>IFERROR(C79-VLOOKUP($A79,'Wikia | Gehege'!$A:$AL,18,FALSE),0)</f>
        <v>0</v>
      </c>
      <c r="H79" s="36">
        <f>IFERROR(D79-VLOOKUP($A79,'Wikia | Gehege'!$A:$AL,19,FALSE),0)</f>
        <v>9</v>
      </c>
      <c r="I79" s="37">
        <f>IFERROR(E79-VLOOKUP($A79,'Wikia | Gehege'!$A:$AL,20,FALSE),0)</f>
        <v>0</v>
      </c>
      <c r="J79" s="35">
        <f>IFERROR(IF(VLOOKUP($A79,'Wikia | Gehege'!$A:$AL,26,FALSE)=1,VLOOKUP($A79,'Wikia | Gehege'!$A:$AL,17,FALSE),VLOOKUP($A79,'Wikia | Gehege'!$A:$AL,17,FALSE)+VLOOKUP($A79,'Wikia | Gehege'!$A:$AL,26,FALSE)*($F79)-1*$F79),0)</f>
        <v>345</v>
      </c>
      <c r="K79" s="36">
        <f>IFERROR(IF(VLOOKUP($A79,'Wikia | Gehege'!$A:$AL,26,FALSE)=1,VLOOKUP($A79,'Wikia | Gehege'!$A:$AL,18,FALSE),VLOOKUP($A79,'Wikia | Gehege'!$A:$AL,18,FALSE)+VLOOKUP($A79,'Wikia | Gehege'!$A:$AL,26,FALSE)*($G79)-1*$G79),0)</f>
        <v>0</v>
      </c>
      <c r="L79" s="36">
        <f>IFERROR(IF(VLOOKUP($A79,'Wikia | Gehege'!$A:$AL,26,FALSE)=1,VLOOKUP($A79,'Wikia | Gehege'!$A:$AL,19,FALSE),VLOOKUP($A79,'Wikia | Gehege'!$A:$AL,19,FALSE)+VLOOKUP($A79,'Wikia | Gehege'!$A:$AL,26,FALSE)*($H79)-1*$H79),0)</f>
        <v>102</v>
      </c>
      <c r="M79" s="37">
        <f>IFERROR(IF(VLOOKUP($A79,'Wikia | Gehege'!$A:$AL,26,FALSE)=1,VLOOKUP($A79,'Wikia | Gehege'!$A:$AL,20,FALSE),VLOOKUP($A79,'Wikia | Gehege'!$A:$AL,20,FALSE)+VLOOKUP($A79,'Wikia | Gehege'!$A:$AL,26,FALSE)*($I79)-1*$I79),0)</f>
        <v>0</v>
      </c>
      <c r="N79" s="35">
        <f>IFERROR(IF(VLOOKUP($A79,'Wikia | Gehege'!$A:$AL,27,FALSE)=1,VLOOKUP($A79,'Wikia | Gehege'!$A:$AL,17,FALSE),VLOOKUP($A79,'Wikia | Gehege'!$A:$AL,17,FALSE)+VLOOKUP($A79,'Wikia | Gehege'!$A:$AL,27,FALSE)*($F79)-1*$F79),0)</f>
        <v>1485</v>
      </c>
      <c r="O79" s="36">
        <f>IFERROR(IF(VLOOKUP($A79,'Wikia | Gehege'!$A:$AL,27,FALSE)=1,VLOOKUP($A79,'Wikia | Gehege'!$A:$AL,18,FALSE),VLOOKUP($A79,'Wikia | Gehege'!$A:$AL,18,FALSE)+VLOOKUP($A79,'Wikia | Gehege'!$A:$AL,27,FALSE)*($G79)-1*$G79),0)</f>
        <v>0</v>
      </c>
      <c r="P79" s="36">
        <f>IFERROR(IF(VLOOKUP($A79,'Wikia | Gehege'!$A:$AL,27,FALSE)=1,VLOOKUP($A79,'Wikia | Gehege'!$A:$AL,19,FALSE),VLOOKUP($A79,'Wikia | Gehege'!$A:$AL,19,FALSE)+VLOOKUP($A79,'Wikia | Gehege'!$A:$AL,27,FALSE)*($H79)-1*$H79),0)</f>
        <v>786</v>
      </c>
      <c r="Q79" s="37">
        <f>IFERROR(IF(VLOOKUP($A79,'Wikia | Gehege'!$A:$AL,27,FALSE)=1,VLOOKUP($A79,'Wikia | Gehege'!$A:$AL,20,FALSE),VLOOKUP($A79,'Wikia | Gehege'!$A:$AL,20,FALSE)+VLOOKUP($A79,'Wikia | Gehege'!$A:$AL,27,FALSE)*($I79)-1*$I79),0)</f>
        <v>0</v>
      </c>
      <c r="R79" s="87"/>
      <c r="S79" s="94"/>
      <c r="T79" s="38">
        <f>IFERROR(VLOOKUP($A79,'Wikia | Gehege'!$A:$AL,17,FALSE)+(($S79-1)*$F79),0)</f>
        <v>285</v>
      </c>
      <c r="U79" s="38">
        <f>IFERROR(VLOOKUP($A79,'Wikia | Gehege'!$A:$AL,18,FALSE)+(($S79-1)*$G79),0)</f>
        <v>0</v>
      </c>
      <c r="V79" s="38">
        <f>IFERROR(VLOOKUP($A79,'Wikia | Gehege'!$A:$AL,19,FALSE)+(($S79-1)*$H79),0)</f>
        <v>66</v>
      </c>
      <c r="W79" s="85">
        <f>IFERROR(VLOOKUP($A79,'Wikia | Gehege'!$A:$AL,20,FALSE)+(($S79-1)*$I79),0)</f>
        <v>0</v>
      </c>
      <c r="X79" s="87"/>
    </row>
    <row r="80" spans="1:24" ht="35.1" customHeight="1" x14ac:dyDescent="0.2">
      <c r="A80" s="140" t="str">
        <f>'Wikia | Gehege'!A80</f>
        <v>Mantelpavian</v>
      </c>
      <c r="B80" s="35">
        <v>510</v>
      </c>
      <c r="C80" s="36">
        <v>22</v>
      </c>
      <c r="D80" s="36">
        <v>0</v>
      </c>
      <c r="E80" s="37">
        <v>0</v>
      </c>
      <c r="F80" s="35">
        <f>IFERROR(B80-VLOOKUP($A80,'Wikia | Gehege'!$A:$AL,17,FALSE),0)</f>
        <v>10</v>
      </c>
      <c r="G80" s="36">
        <f>IFERROR(C80-VLOOKUP($A80,'Wikia | Gehege'!$A:$AL,18,FALSE),0)</f>
        <v>2</v>
      </c>
      <c r="H80" s="36">
        <f>IFERROR(D80-VLOOKUP($A80,'Wikia | Gehege'!$A:$AL,19,FALSE),0)</f>
        <v>0</v>
      </c>
      <c r="I80" s="37">
        <f>IFERROR(E80-VLOOKUP($A80,'Wikia | Gehege'!$A:$AL,20,FALSE),0)</f>
        <v>0</v>
      </c>
      <c r="J80" s="35">
        <f>IFERROR(IF(VLOOKUP($A80,'Wikia | Gehege'!$A:$AL,26,FALSE)=1,VLOOKUP($A80,'Wikia | Gehege'!$A:$AL,17,FALSE),VLOOKUP($A80,'Wikia | Gehege'!$A:$AL,17,FALSE)+VLOOKUP($A80,'Wikia | Gehege'!$A:$AL,26,FALSE)*($F80)-1*$F80),0)</f>
        <v>550</v>
      </c>
      <c r="K80" s="36">
        <f>IFERROR(IF(VLOOKUP($A80,'Wikia | Gehege'!$A:$AL,26,FALSE)=1,VLOOKUP($A80,'Wikia | Gehege'!$A:$AL,18,FALSE),VLOOKUP($A80,'Wikia | Gehege'!$A:$AL,18,FALSE)+VLOOKUP($A80,'Wikia | Gehege'!$A:$AL,26,FALSE)*($G80)-1*$G80),0)</f>
        <v>30</v>
      </c>
      <c r="L80" s="36">
        <f>IFERROR(IF(VLOOKUP($A80,'Wikia | Gehege'!$A:$AL,26,FALSE)=1,VLOOKUP($A80,'Wikia | Gehege'!$A:$AL,19,FALSE),VLOOKUP($A80,'Wikia | Gehege'!$A:$AL,19,FALSE)+VLOOKUP($A80,'Wikia | Gehege'!$A:$AL,26,FALSE)*($H80)-1*$H80),0)</f>
        <v>0</v>
      </c>
      <c r="M80" s="37">
        <f>IFERROR(IF(VLOOKUP($A80,'Wikia | Gehege'!$A:$AL,26,FALSE)=1,VLOOKUP($A80,'Wikia | Gehege'!$A:$AL,20,FALSE),VLOOKUP($A80,'Wikia | Gehege'!$A:$AL,20,FALSE)+VLOOKUP($A80,'Wikia | Gehege'!$A:$AL,26,FALSE)*($I80)-1*$I80),0)</f>
        <v>0</v>
      </c>
      <c r="N80" s="35">
        <f>IFERROR(IF(VLOOKUP($A80,'Wikia | Gehege'!$A:$AL,27,FALSE)=1,VLOOKUP($A80,'Wikia | Gehege'!$A:$AL,17,FALSE),VLOOKUP($A80,'Wikia | Gehege'!$A:$AL,17,FALSE)+VLOOKUP($A80,'Wikia | Gehege'!$A:$AL,27,FALSE)*($F80)-1*$F80),0)</f>
        <v>1490</v>
      </c>
      <c r="O80" s="36">
        <f>IFERROR(IF(VLOOKUP($A80,'Wikia | Gehege'!$A:$AL,27,FALSE)=1,VLOOKUP($A80,'Wikia | Gehege'!$A:$AL,18,FALSE),VLOOKUP($A80,'Wikia | Gehege'!$A:$AL,18,FALSE)+VLOOKUP($A80,'Wikia | Gehege'!$A:$AL,27,FALSE)*($G80)-1*$G80),0)</f>
        <v>218</v>
      </c>
      <c r="P80" s="36">
        <f>IFERROR(IF(VLOOKUP($A80,'Wikia | Gehege'!$A:$AL,27,FALSE)=1,VLOOKUP($A80,'Wikia | Gehege'!$A:$AL,19,FALSE),VLOOKUP($A80,'Wikia | Gehege'!$A:$AL,19,FALSE)+VLOOKUP($A80,'Wikia | Gehege'!$A:$AL,27,FALSE)*($H80)-1*$H80),0)</f>
        <v>0</v>
      </c>
      <c r="Q80" s="37">
        <f>IFERROR(IF(VLOOKUP($A80,'Wikia | Gehege'!$A:$AL,27,FALSE)=1,VLOOKUP($A80,'Wikia | Gehege'!$A:$AL,20,FALSE),VLOOKUP($A80,'Wikia | Gehege'!$A:$AL,20,FALSE)+VLOOKUP($A80,'Wikia | Gehege'!$A:$AL,27,FALSE)*($I80)-1*$I80),0)</f>
        <v>0</v>
      </c>
      <c r="R80" s="87"/>
      <c r="S80" s="94"/>
      <c r="T80" s="38">
        <f>IFERROR(VLOOKUP($A80,'Wikia | Gehege'!$A:$AL,17,FALSE)+(($S80-1)*$F80),0)</f>
        <v>490</v>
      </c>
      <c r="U80" s="38">
        <f>IFERROR(VLOOKUP($A80,'Wikia | Gehege'!$A:$AL,18,FALSE)+(($S80-1)*$G80),0)</f>
        <v>18</v>
      </c>
      <c r="V80" s="38">
        <f>IFERROR(VLOOKUP($A80,'Wikia | Gehege'!$A:$AL,19,FALSE)+(($S80-1)*$H80),0)</f>
        <v>0</v>
      </c>
      <c r="W80" s="85">
        <f>IFERROR(VLOOKUP($A80,'Wikia | Gehege'!$A:$AL,20,FALSE)+(($S80-1)*$I80),0)</f>
        <v>0</v>
      </c>
      <c r="X80" s="87"/>
    </row>
    <row r="81" spans="1:24" ht="35.1" customHeight="1" x14ac:dyDescent="0.2">
      <c r="A81" s="140" t="str">
        <f>'Wikia | Gehege'!A81</f>
        <v>Mendesantilope</v>
      </c>
      <c r="B81" s="35">
        <v>370</v>
      </c>
      <c r="C81" s="36">
        <v>0</v>
      </c>
      <c r="D81" s="36">
        <v>0</v>
      </c>
      <c r="E81" s="37">
        <v>0</v>
      </c>
      <c r="F81" s="35">
        <f>IFERROR(B81-VLOOKUP($A81,'Wikia | Gehege'!$A:$AL,17,FALSE),0)</f>
        <v>45</v>
      </c>
      <c r="G81" s="36">
        <f>IFERROR(C81-VLOOKUP($A81,'Wikia | Gehege'!$A:$AL,18,FALSE),0)</f>
        <v>0</v>
      </c>
      <c r="H81" s="36">
        <f>IFERROR(D81-VLOOKUP($A81,'Wikia | Gehege'!$A:$AL,19,FALSE),0)</f>
        <v>0</v>
      </c>
      <c r="I81" s="37">
        <f>IFERROR(E81-VLOOKUP($A81,'Wikia | Gehege'!$A:$AL,20,FALSE),0)</f>
        <v>0</v>
      </c>
      <c r="J81" s="35">
        <f>IFERROR(IF(VLOOKUP($A81,'Wikia | Gehege'!$A:$AL,26,FALSE)=1,VLOOKUP($A81,'Wikia | Gehege'!$A:$AL,17,FALSE),VLOOKUP($A81,'Wikia | Gehege'!$A:$AL,17,FALSE)+VLOOKUP($A81,'Wikia | Gehege'!$A:$AL,26,FALSE)*($F81)-1*$F81),0)</f>
        <v>370</v>
      </c>
      <c r="K81" s="36">
        <f>IFERROR(IF(VLOOKUP($A81,'Wikia | Gehege'!$A:$AL,26,FALSE)=1,VLOOKUP($A81,'Wikia | Gehege'!$A:$AL,18,FALSE),VLOOKUP($A81,'Wikia | Gehege'!$A:$AL,18,FALSE)+VLOOKUP($A81,'Wikia | Gehege'!$A:$AL,26,FALSE)*($G81)-1*$G81),0)</f>
        <v>0</v>
      </c>
      <c r="L81" s="36">
        <f>IFERROR(IF(VLOOKUP($A81,'Wikia | Gehege'!$A:$AL,26,FALSE)=1,VLOOKUP($A81,'Wikia | Gehege'!$A:$AL,19,FALSE),VLOOKUP($A81,'Wikia | Gehege'!$A:$AL,19,FALSE)+VLOOKUP($A81,'Wikia | Gehege'!$A:$AL,26,FALSE)*($H81)-1*$H81),0)</f>
        <v>0</v>
      </c>
      <c r="M81" s="37">
        <f>IFERROR(IF(VLOOKUP($A81,'Wikia | Gehege'!$A:$AL,26,FALSE)=1,VLOOKUP($A81,'Wikia | Gehege'!$A:$AL,20,FALSE),VLOOKUP($A81,'Wikia | Gehege'!$A:$AL,20,FALSE)+VLOOKUP($A81,'Wikia | Gehege'!$A:$AL,26,FALSE)*($I81)-1*$I81),0)</f>
        <v>0</v>
      </c>
      <c r="N81" s="35">
        <f>IFERROR(IF(VLOOKUP($A81,'Wikia | Gehege'!$A:$AL,27,FALSE)=1,VLOOKUP($A81,'Wikia | Gehege'!$A:$AL,17,FALSE),VLOOKUP($A81,'Wikia | Gehege'!$A:$AL,17,FALSE)+VLOOKUP($A81,'Wikia | Gehege'!$A:$AL,27,FALSE)*($F81)-1*$F81),0)</f>
        <v>1405</v>
      </c>
      <c r="O81" s="36">
        <f>IFERROR(IF(VLOOKUP($A81,'Wikia | Gehege'!$A:$AL,27,FALSE)=1,VLOOKUP($A81,'Wikia | Gehege'!$A:$AL,18,FALSE),VLOOKUP($A81,'Wikia | Gehege'!$A:$AL,18,FALSE)+VLOOKUP($A81,'Wikia | Gehege'!$A:$AL,27,FALSE)*($G81)-1*$G81),0)</f>
        <v>0</v>
      </c>
      <c r="P81" s="36">
        <f>IFERROR(IF(VLOOKUP($A81,'Wikia | Gehege'!$A:$AL,27,FALSE)=1,VLOOKUP($A81,'Wikia | Gehege'!$A:$AL,19,FALSE),VLOOKUP($A81,'Wikia | Gehege'!$A:$AL,19,FALSE)+VLOOKUP($A81,'Wikia | Gehege'!$A:$AL,27,FALSE)*($H81)-1*$H81),0)</f>
        <v>0</v>
      </c>
      <c r="Q81" s="37">
        <f>IFERROR(IF(VLOOKUP($A81,'Wikia | Gehege'!$A:$AL,27,FALSE)=1,VLOOKUP($A81,'Wikia | Gehege'!$A:$AL,20,FALSE),VLOOKUP($A81,'Wikia | Gehege'!$A:$AL,20,FALSE)+VLOOKUP($A81,'Wikia | Gehege'!$A:$AL,27,FALSE)*($I81)-1*$I81),0)</f>
        <v>0</v>
      </c>
      <c r="R81" s="87"/>
      <c r="S81" s="94"/>
      <c r="T81" s="38">
        <f>IFERROR(VLOOKUP($A81,'Wikia | Gehege'!$A:$AL,17,FALSE)+(($S81-1)*$F81),0)</f>
        <v>280</v>
      </c>
      <c r="U81" s="38">
        <f>IFERROR(VLOOKUP($A81,'Wikia | Gehege'!$A:$AL,18,FALSE)+(($S81-1)*$G81),0)</f>
        <v>0</v>
      </c>
      <c r="V81" s="38">
        <f>IFERROR(VLOOKUP($A81,'Wikia | Gehege'!$A:$AL,19,FALSE)+(($S81-1)*$H81),0)</f>
        <v>0</v>
      </c>
      <c r="W81" s="85">
        <f>IFERROR(VLOOKUP($A81,'Wikia | Gehege'!$A:$AL,20,FALSE)+(($S81-1)*$I81),0)</f>
        <v>0</v>
      </c>
      <c r="X81" s="87"/>
    </row>
    <row r="82" spans="1:24" ht="35.1" customHeight="1" x14ac:dyDescent="0.2">
      <c r="A82" s="140" t="str">
        <f>'Wikia | Gehege'!A82</f>
        <v>Mississippi-Alligator</v>
      </c>
      <c r="B82" s="35">
        <v>248</v>
      </c>
      <c r="C82" s="36">
        <v>0</v>
      </c>
      <c r="D82" s="36">
        <v>260</v>
      </c>
      <c r="E82" s="37">
        <v>0</v>
      </c>
      <c r="F82" s="35">
        <f>IFERROR(B82-VLOOKUP($A82,'Wikia | Gehege'!$A:$AL,17,FALSE),0)</f>
        <v>38</v>
      </c>
      <c r="G82" s="36">
        <f>IFERROR(C82-VLOOKUP($A82,'Wikia | Gehege'!$A:$AL,18,FALSE),0)</f>
        <v>0</v>
      </c>
      <c r="H82" s="36">
        <f>IFERROR(D82-VLOOKUP($A82,'Wikia | Gehege'!$A:$AL,19,FALSE),0)</f>
        <v>50</v>
      </c>
      <c r="I82" s="37">
        <f>IFERROR(E82-VLOOKUP($A82,'Wikia | Gehege'!$A:$AL,20,FALSE),0)</f>
        <v>0</v>
      </c>
      <c r="J82" s="35">
        <f>IFERROR(IF(VLOOKUP($A82,'Wikia | Gehege'!$A:$AL,26,FALSE)=1,VLOOKUP($A82,'Wikia | Gehege'!$A:$AL,17,FALSE),VLOOKUP($A82,'Wikia | Gehege'!$A:$AL,17,FALSE)+VLOOKUP($A82,'Wikia | Gehege'!$A:$AL,26,FALSE)*($F82)-1*$F82),0)</f>
        <v>210</v>
      </c>
      <c r="K82" s="36">
        <f>IFERROR(IF(VLOOKUP($A82,'Wikia | Gehege'!$A:$AL,26,FALSE)=1,VLOOKUP($A82,'Wikia | Gehege'!$A:$AL,18,FALSE),VLOOKUP($A82,'Wikia | Gehege'!$A:$AL,18,FALSE)+VLOOKUP($A82,'Wikia | Gehege'!$A:$AL,26,FALSE)*($G82)-1*$G82),0)</f>
        <v>0</v>
      </c>
      <c r="L82" s="36">
        <f>IFERROR(IF(VLOOKUP($A82,'Wikia | Gehege'!$A:$AL,26,FALSE)=1,VLOOKUP($A82,'Wikia | Gehege'!$A:$AL,19,FALSE),VLOOKUP($A82,'Wikia | Gehege'!$A:$AL,19,FALSE)+VLOOKUP($A82,'Wikia | Gehege'!$A:$AL,26,FALSE)*($H82)-1*$H82),0)</f>
        <v>210</v>
      </c>
      <c r="M82" s="37">
        <f>IFERROR(IF(VLOOKUP($A82,'Wikia | Gehege'!$A:$AL,26,FALSE)=1,VLOOKUP($A82,'Wikia | Gehege'!$A:$AL,20,FALSE),VLOOKUP($A82,'Wikia | Gehege'!$A:$AL,20,FALSE)+VLOOKUP($A82,'Wikia | Gehege'!$A:$AL,26,FALSE)*($I82)-1*$I82),0)</f>
        <v>0</v>
      </c>
      <c r="N82" s="35">
        <f>IFERROR(IF(VLOOKUP($A82,'Wikia | Gehege'!$A:$AL,27,FALSE)=1,VLOOKUP($A82,'Wikia | Gehege'!$A:$AL,17,FALSE),VLOOKUP($A82,'Wikia | Gehege'!$A:$AL,17,FALSE)+VLOOKUP($A82,'Wikia | Gehege'!$A:$AL,27,FALSE)*($F82)-1*$F82),0)</f>
        <v>400</v>
      </c>
      <c r="O82" s="36">
        <f>IFERROR(IF(VLOOKUP($A82,'Wikia | Gehege'!$A:$AL,27,FALSE)=1,VLOOKUP($A82,'Wikia | Gehege'!$A:$AL,18,FALSE),VLOOKUP($A82,'Wikia | Gehege'!$A:$AL,18,FALSE)+VLOOKUP($A82,'Wikia | Gehege'!$A:$AL,27,FALSE)*($G82)-1*$G82),0)</f>
        <v>0</v>
      </c>
      <c r="P82" s="36">
        <f>IFERROR(IF(VLOOKUP($A82,'Wikia | Gehege'!$A:$AL,27,FALSE)=1,VLOOKUP($A82,'Wikia | Gehege'!$A:$AL,19,FALSE),VLOOKUP($A82,'Wikia | Gehege'!$A:$AL,19,FALSE)+VLOOKUP($A82,'Wikia | Gehege'!$A:$AL,27,FALSE)*($H82)-1*$H82),0)</f>
        <v>460</v>
      </c>
      <c r="Q82" s="37">
        <f>IFERROR(IF(VLOOKUP($A82,'Wikia | Gehege'!$A:$AL,27,FALSE)=1,VLOOKUP($A82,'Wikia | Gehege'!$A:$AL,20,FALSE),VLOOKUP($A82,'Wikia | Gehege'!$A:$AL,20,FALSE)+VLOOKUP($A82,'Wikia | Gehege'!$A:$AL,27,FALSE)*($I82)-1*$I82),0)</f>
        <v>0</v>
      </c>
      <c r="R82" s="87"/>
      <c r="S82" s="94"/>
      <c r="T82" s="38">
        <f>IFERROR(VLOOKUP($A82,'Wikia | Gehege'!$A:$AL,17,FALSE)+(($S82-1)*$F82),0)</f>
        <v>172</v>
      </c>
      <c r="U82" s="38">
        <f>IFERROR(VLOOKUP($A82,'Wikia | Gehege'!$A:$AL,18,FALSE)+(($S82-1)*$G82),0)</f>
        <v>0</v>
      </c>
      <c r="V82" s="38">
        <f>IFERROR(VLOOKUP($A82,'Wikia | Gehege'!$A:$AL,19,FALSE)+(($S82-1)*$H82),0)</f>
        <v>160</v>
      </c>
      <c r="W82" s="85">
        <f>IFERROR(VLOOKUP($A82,'Wikia | Gehege'!$A:$AL,20,FALSE)+(($S82-1)*$I82),0)</f>
        <v>0</v>
      </c>
      <c r="X82" s="87"/>
    </row>
    <row r="83" spans="1:24" ht="35.1" customHeight="1" x14ac:dyDescent="0.2">
      <c r="A83" s="140" t="str">
        <f>'Wikia | Gehege'!A83</f>
        <v xml:space="preserve">Mittelamerikanischer Tapir </v>
      </c>
      <c r="B83" s="35">
        <v>486</v>
      </c>
      <c r="C83" s="36">
        <v>0</v>
      </c>
      <c r="D83" s="36">
        <v>56</v>
      </c>
      <c r="E83" s="37">
        <v>0</v>
      </c>
      <c r="F83" s="35">
        <f>IFERROR(B83-VLOOKUP($A83,'Wikia | Gehege'!$A:$AL,17,FALSE),0)</f>
        <v>56</v>
      </c>
      <c r="G83" s="36">
        <f>IFERROR(C83-VLOOKUP($A83,'Wikia | Gehege'!$A:$AL,18,FALSE),0)</f>
        <v>0</v>
      </c>
      <c r="H83" s="36">
        <f>IFERROR(D83-VLOOKUP($A83,'Wikia | Gehege'!$A:$AL,19,FALSE),0)</f>
        <v>19</v>
      </c>
      <c r="I83" s="37">
        <f>IFERROR(E83-VLOOKUP($A83,'Wikia | Gehege'!$A:$AL,20,FALSE),0)</f>
        <v>0</v>
      </c>
      <c r="J83" s="35">
        <f>IFERROR(IF(VLOOKUP($A83,'Wikia | Gehege'!$A:$AL,26,FALSE)=1,VLOOKUP($A83,'Wikia | Gehege'!$A:$AL,17,FALSE),VLOOKUP($A83,'Wikia | Gehege'!$A:$AL,17,FALSE)+VLOOKUP($A83,'Wikia | Gehege'!$A:$AL,26,FALSE)*($F83)-1*$F83),0)</f>
        <v>430</v>
      </c>
      <c r="K83" s="36">
        <f>IFERROR(IF(VLOOKUP($A83,'Wikia | Gehege'!$A:$AL,26,FALSE)=1,VLOOKUP($A83,'Wikia | Gehege'!$A:$AL,18,FALSE),VLOOKUP($A83,'Wikia | Gehege'!$A:$AL,18,FALSE)+VLOOKUP($A83,'Wikia | Gehege'!$A:$AL,26,FALSE)*($G83)-1*$G83),0)</f>
        <v>0</v>
      </c>
      <c r="L83" s="36">
        <f>IFERROR(IF(VLOOKUP($A83,'Wikia | Gehege'!$A:$AL,26,FALSE)=1,VLOOKUP($A83,'Wikia | Gehege'!$A:$AL,19,FALSE),VLOOKUP($A83,'Wikia | Gehege'!$A:$AL,19,FALSE)+VLOOKUP($A83,'Wikia | Gehege'!$A:$AL,26,FALSE)*($H83)-1*$H83),0)</f>
        <v>37</v>
      </c>
      <c r="M83" s="37">
        <f>IFERROR(IF(VLOOKUP($A83,'Wikia | Gehege'!$A:$AL,26,FALSE)=1,VLOOKUP($A83,'Wikia | Gehege'!$A:$AL,20,FALSE),VLOOKUP($A83,'Wikia | Gehege'!$A:$AL,20,FALSE)+VLOOKUP($A83,'Wikia | Gehege'!$A:$AL,26,FALSE)*($I83)-1*$I83),0)</f>
        <v>0</v>
      </c>
      <c r="N83" s="35">
        <f>IFERROR(IF(VLOOKUP($A83,'Wikia | Gehege'!$A:$AL,27,FALSE)=1,VLOOKUP($A83,'Wikia | Gehege'!$A:$AL,17,FALSE),VLOOKUP($A83,'Wikia | Gehege'!$A:$AL,17,FALSE)+VLOOKUP($A83,'Wikia | Gehege'!$A:$AL,27,FALSE)*($F83)-1*$F83),0)</f>
        <v>486</v>
      </c>
      <c r="O83" s="36">
        <f>IFERROR(IF(VLOOKUP($A83,'Wikia | Gehege'!$A:$AL,27,FALSE)=1,VLOOKUP($A83,'Wikia | Gehege'!$A:$AL,18,FALSE),VLOOKUP($A83,'Wikia | Gehege'!$A:$AL,18,FALSE)+VLOOKUP($A83,'Wikia | Gehege'!$A:$AL,27,FALSE)*($G83)-1*$G83),0)</f>
        <v>0</v>
      </c>
      <c r="P83" s="36">
        <f>IFERROR(IF(VLOOKUP($A83,'Wikia | Gehege'!$A:$AL,27,FALSE)=1,VLOOKUP($A83,'Wikia | Gehege'!$A:$AL,19,FALSE),VLOOKUP($A83,'Wikia | Gehege'!$A:$AL,19,FALSE)+VLOOKUP($A83,'Wikia | Gehege'!$A:$AL,27,FALSE)*($H83)-1*$H83),0)</f>
        <v>56</v>
      </c>
      <c r="Q83" s="37">
        <f>IFERROR(IF(VLOOKUP($A83,'Wikia | Gehege'!$A:$AL,27,FALSE)=1,VLOOKUP($A83,'Wikia | Gehege'!$A:$AL,20,FALSE),VLOOKUP($A83,'Wikia | Gehege'!$A:$AL,20,FALSE)+VLOOKUP($A83,'Wikia | Gehege'!$A:$AL,27,FALSE)*($I83)-1*$I83),0)</f>
        <v>0</v>
      </c>
      <c r="R83" s="87"/>
      <c r="S83" s="94"/>
      <c r="T83" s="38">
        <f>IFERROR(VLOOKUP($A83,'Wikia | Gehege'!$A:$AL,17,FALSE)+(($S83-1)*$F83),0)</f>
        <v>374</v>
      </c>
      <c r="U83" s="38">
        <f>IFERROR(VLOOKUP($A83,'Wikia | Gehege'!$A:$AL,18,FALSE)+(($S83-1)*$G83),0)</f>
        <v>0</v>
      </c>
      <c r="V83" s="38">
        <f>IFERROR(VLOOKUP($A83,'Wikia | Gehege'!$A:$AL,19,FALSE)+(($S83-1)*$H83),0)</f>
        <v>18</v>
      </c>
      <c r="W83" s="85">
        <f>IFERROR(VLOOKUP($A83,'Wikia | Gehege'!$A:$AL,20,FALSE)+(($S83-1)*$I83),0)</f>
        <v>0</v>
      </c>
      <c r="X83" s="87"/>
    </row>
    <row r="84" spans="1:24" ht="35.1" customHeight="1" x14ac:dyDescent="0.2">
      <c r="A84" s="140" t="str">
        <f>'Wikia | Gehege'!A84</f>
        <v>Nacktnasenwombat</v>
      </c>
      <c r="B84" s="35">
        <v>270</v>
      </c>
      <c r="C84" s="36">
        <v>0</v>
      </c>
      <c r="D84" s="36">
        <v>0</v>
      </c>
      <c r="E84" s="37">
        <v>0</v>
      </c>
      <c r="F84" s="35">
        <f>IFERROR(B84-VLOOKUP($A84,'Wikia | Gehege'!$A:$AL,17,FALSE),0)</f>
        <v>45</v>
      </c>
      <c r="G84" s="36">
        <f>IFERROR(C84-VLOOKUP($A84,'Wikia | Gehege'!$A:$AL,18,FALSE),0)</f>
        <v>0</v>
      </c>
      <c r="H84" s="36">
        <f>IFERROR(D84-VLOOKUP($A84,'Wikia | Gehege'!$A:$AL,19,FALSE),0)</f>
        <v>0</v>
      </c>
      <c r="I84" s="37">
        <f>IFERROR(E84-VLOOKUP($A84,'Wikia | Gehege'!$A:$AL,20,FALSE),0)</f>
        <v>0</v>
      </c>
      <c r="J84" s="35">
        <f>IFERROR(IF(VLOOKUP($A84,'Wikia | Gehege'!$A:$AL,26,FALSE)=1,VLOOKUP($A84,'Wikia | Gehege'!$A:$AL,17,FALSE),VLOOKUP($A84,'Wikia | Gehege'!$A:$AL,17,FALSE)+VLOOKUP($A84,'Wikia | Gehege'!$A:$AL,26,FALSE)*($F84)-1*$F84),0)</f>
        <v>225</v>
      </c>
      <c r="K84" s="36">
        <f>IFERROR(IF(VLOOKUP($A84,'Wikia | Gehege'!$A:$AL,26,FALSE)=1,VLOOKUP($A84,'Wikia | Gehege'!$A:$AL,18,FALSE),VLOOKUP($A84,'Wikia | Gehege'!$A:$AL,18,FALSE)+VLOOKUP($A84,'Wikia | Gehege'!$A:$AL,26,FALSE)*($G84)-1*$G84),0)</f>
        <v>0</v>
      </c>
      <c r="L84" s="36">
        <f>IFERROR(IF(VLOOKUP($A84,'Wikia | Gehege'!$A:$AL,26,FALSE)=1,VLOOKUP($A84,'Wikia | Gehege'!$A:$AL,19,FALSE),VLOOKUP($A84,'Wikia | Gehege'!$A:$AL,19,FALSE)+VLOOKUP($A84,'Wikia | Gehege'!$A:$AL,26,FALSE)*($H84)-1*$H84),0)</f>
        <v>0</v>
      </c>
      <c r="M84" s="37">
        <f>IFERROR(IF(VLOOKUP($A84,'Wikia | Gehege'!$A:$AL,26,FALSE)=1,VLOOKUP($A84,'Wikia | Gehege'!$A:$AL,20,FALSE),VLOOKUP($A84,'Wikia | Gehege'!$A:$AL,20,FALSE)+VLOOKUP($A84,'Wikia | Gehege'!$A:$AL,26,FALSE)*($I84)-1*$I84),0)</f>
        <v>0</v>
      </c>
      <c r="N84" s="35">
        <f>IFERROR(IF(VLOOKUP($A84,'Wikia | Gehege'!$A:$AL,27,FALSE)=1,VLOOKUP($A84,'Wikia | Gehege'!$A:$AL,17,FALSE),VLOOKUP($A84,'Wikia | Gehege'!$A:$AL,17,FALSE)+VLOOKUP($A84,'Wikia | Gehege'!$A:$AL,27,FALSE)*($F84)-1*$F84),0)</f>
        <v>270</v>
      </c>
      <c r="O84" s="36">
        <f>IFERROR(IF(VLOOKUP($A84,'Wikia | Gehege'!$A:$AL,27,FALSE)=1,VLOOKUP($A84,'Wikia | Gehege'!$A:$AL,18,FALSE),VLOOKUP($A84,'Wikia | Gehege'!$A:$AL,18,FALSE)+VLOOKUP($A84,'Wikia | Gehege'!$A:$AL,27,FALSE)*($G84)-1*$G84),0)</f>
        <v>0</v>
      </c>
      <c r="P84" s="36">
        <f>IFERROR(IF(VLOOKUP($A84,'Wikia | Gehege'!$A:$AL,27,FALSE)=1,VLOOKUP($A84,'Wikia | Gehege'!$A:$AL,19,FALSE),VLOOKUP($A84,'Wikia | Gehege'!$A:$AL,19,FALSE)+VLOOKUP($A84,'Wikia | Gehege'!$A:$AL,27,FALSE)*($H84)-1*$H84),0)</f>
        <v>0</v>
      </c>
      <c r="Q84" s="37">
        <f>IFERROR(IF(VLOOKUP($A84,'Wikia | Gehege'!$A:$AL,27,FALSE)=1,VLOOKUP($A84,'Wikia | Gehege'!$A:$AL,20,FALSE),VLOOKUP($A84,'Wikia | Gehege'!$A:$AL,20,FALSE)+VLOOKUP($A84,'Wikia | Gehege'!$A:$AL,27,FALSE)*($I84)-1*$I84),0)</f>
        <v>0</v>
      </c>
      <c r="R84" s="87"/>
      <c r="S84" s="94"/>
      <c r="T84" s="38">
        <f>IFERROR(VLOOKUP($A84,'Wikia | Gehege'!$A:$AL,17,FALSE)+(($S84-1)*$F84),0)</f>
        <v>180</v>
      </c>
      <c r="U84" s="38">
        <f>IFERROR(VLOOKUP($A84,'Wikia | Gehege'!$A:$AL,18,FALSE)+(($S84-1)*$G84),0)</f>
        <v>0</v>
      </c>
      <c r="V84" s="38">
        <f>IFERROR(VLOOKUP($A84,'Wikia | Gehege'!$A:$AL,19,FALSE)+(($S84-1)*$H84),0)</f>
        <v>0</v>
      </c>
      <c r="W84" s="85">
        <f>IFERROR(VLOOKUP($A84,'Wikia | Gehege'!$A:$AL,20,FALSE)+(($S84-1)*$I84),0)</f>
        <v>0</v>
      </c>
      <c r="X84" s="87"/>
    </row>
    <row r="85" spans="1:24" ht="35.1" customHeight="1" x14ac:dyDescent="0.2">
      <c r="A85" s="140" t="str">
        <f>'Wikia | Gehege'!A85</f>
        <v>Nasenaffe</v>
      </c>
      <c r="B85" s="35">
        <v>435</v>
      </c>
      <c r="C85" s="36">
        <v>45</v>
      </c>
      <c r="D85" s="36">
        <v>0</v>
      </c>
      <c r="E85" s="37">
        <v>0</v>
      </c>
      <c r="F85" s="35">
        <f>IFERROR(B85-VLOOKUP($A85,'Wikia | Gehege'!$A:$AL,17,FALSE),0)</f>
        <v>35</v>
      </c>
      <c r="G85" s="36">
        <f>IFERROR(C85-VLOOKUP($A85,'Wikia | Gehege'!$A:$AL,18,FALSE),0)</f>
        <v>15</v>
      </c>
      <c r="H85" s="36">
        <f>IFERROR(D85-VLOOKUP($A85,'Wikia | Gehege'!$A:$AL,19,FALSE),0)</f>
        <v>0</v>
      </c>
      <c r="I85" s="37">
        <f>IFERROR(E85-VLOOKUP($A85,'Wikia | Gehege'!$A:$AL,20,FALSE),0)</f>
        <v>0</v>
      </c>
      <c r="J85" s="35">
        <f>IFERROR(IF(VLOOKUP($A85,'Wikia | Gehege'!$A:$AL,26,FALSE)=1,VLOOKUP($A85,'Wikia | Gehege'!$A:$AL,17,FALSE),VLOOKUP($A85,'Wikia | Gehege'!$A:$AL,17,FALSE)+VLOOKUP($A85,'Wikia | Gehege'!$A:$AL,26,FALSE)*($F85)-1*$F85),0)</f>
        <v>470</v>
      </c>
      <c r="K85" s="36">
        <f>IFERROR(IF(VLOOKUP($A85,'Wikia | Gehege'!$A:$AL,26,FALSE)=1,VLOOKUP($A85,'Wikia | Gehege'!$A:$AL,18,FALSE),VLOOKUP($A85,'Wikia | Gehege'!$A:$AL,18,FALSE)+VLOOKUP($A85,'Wikia | Gehege'!$A:$AL,26,FALSE)*($G85)-1*$G85),0)</f>
        <v>60</v>
      </c>
      <c r="L85" s="36">
        <f>IFERROR(IF(VLOOKUP($A85,'Wikia | Gehege'!$A:$AL,26,FALSE)=1,VLOOKUP($A85,'Wikia | Gehege'!$A:$AL,19,FALSE),VLOOKUP($A85,'Wikia | Gehege'!$A:$AL,19,FALSE)+VLOOKUP($A85,'Wikia | Gehege'!$A:$AL,26,FALSE)*($H85)-1*$H85),0)</f>
        <v>0</v>
      </c>
      <c r="M85" s="37">
        <f>IFERROR(IF(VLOOKUP($A85,'Wikia | Gehege'!$A:$AL,26,FALSE)=1,VLOOKUP($A85,'Wikia | Gehege'!$A:$AL,20,FALSE),VLOOKUP($A85,'Wikia | Gehege'!$A:$AL,20,FALSE)+VLOOKUP($A85,'Wikia | Gehege'!$A:$AL,26,FALSE)*($I85)-1*$I85),0)</f>
        <v>0</v>
      </c>
      <c r="N85" s="35">
        <f>IFERROR(IF(VLOOKUP($A85,'Wikia | Gehege'!$A:$AL,27,FALSE)=1,VLOOKUP($A85,'Wikia | Gehege'!$A:$AL,17,FALSE),VLOOKUP($A85,'Wikia | Gehege'!$A:$AL,17,FALSE)+VLOOKUP($A85,'Wikia | Gehege'!$A:$AL,27,FALSE)*($F85)-1*$F85),0)</f>
        <v>1030</v>
      </c>
      <c r="O85" s="36">
        <f>IFERROR(IF(VLOOKUP($A85,'Wikia | Gehege'!$A:$AL,27,FALSE)=1,VLOOKUP($A85,'Wikia | Gehege'!$A:$AL,18,FALSE),VLOOKUP($A85,'Wikia | Gehege'!$A:$AL,18,FALSE)+VLOOKUP($A85,'Wikia | Gehege'!$A:$AL,27,FALSE)*($G85)-1*$G85),0)</f>
        <v>300</v>
      </c>
      <c r="P85" s="36">
        <f>IFERROR(IF(VLOOKUP($A85,'Wikia | Gehege'!$A:$AL,27,FALSE)=1,VLOOKUP($A85,'Wikia | Gehege'!$A:$AL,19,FALSE),VLOOKUP($A85,'Wikia | Gehege'!$A:$AL,19,FALSE)+VLOOKUP($A85,'Wikia | Gehege'!$A:$AL,27,FALSE)*($H85)-1*$H85),0)</f>
        <v>0</v>
      </c>
      <c r="Q85" s="37">
        <f>IFERROR(IF(VLOOKUP($A85,'Wikia | Gehege'!$A:$AL,27,FALSE)=1,VLOOKUP($A85,'Wikia | Gehege'!$A:$AL,20,FALSE),VLOOKUP($A85,'Wikia | Gehege'!$A:$AL,20,FALSE)+VLOOKUP($A85,'Wikia | Gehege'!$A:$AL,27,FALSE)*($I85)-1*$I85),0)</f>
        <v>0</v>
      </c>
      <c r="R85" s="87"/>
      <c r="S85" s="94"/>
      <c r="T85" s="38">
        <f>IFERROR(VLOOKUP($A85,'Wikia | Gehege'!$A:$AL,17,FALSE)+(($S85-1)*$F85),0)</f>
        <v>365</v>
      </c>
      <c r="U85" s="38">
        <f>IFERROR(VLOOKUP($A85,'Wikia | Gehege'!$A:$AL,18,FALSE)+(($S85-1)*$G85),0)</f>
        <v>15</v>
      </c>
      <c r="V85" s="38">
        <f>IFERROR(VLOOKUP($A85,'Wikia | Gehege'!$A:$AL,19,FALSE)+(($S85-1)*$H85),0)</f>
        <v>0</v>
      </c>
      <c r="W85" s="85">
        <f>IFERROR(VLOOKUP($A85,'Wikia | Gehege'!$A:$AL,20,FALSE)+(($S85-1)*$I85),0)</f>
        <v>0</v>
      </c>
      <c r="X85" s="87"/>
    </row>
    <row r="86" spans="1:24" ht="35.1" customHeight="1" x14ac:dyDescent="0.2">
      <c r="A86" s="140" t="str">
        <f>'Wikia | Gehege'!A86</f>
        <v>Nebelparder</v>
      </c>
      <c r="B86" s="35">
        <v>645</v>
      </c>
      <c r="C86" s="36">
        <v>135</v>
      </c>
      <c r="D86" s="36">
        <v>0</v>
      </c>
      <c r="E86" s="37">
        <v>0</v>
      </c>
      <c r="F86" s="35">
        <f>IFERROR(B86-VLOOKUP($A86,'Wikia | Gehege'!$A:$AL,17,FALSE),0)</f>
        <v>111</v>
      </c>
      <c r="G86" s="36">
        <f>IFERROR(C86-VLOOKUP($A86,'Wikia | Gehege'!$A:$AL,18,FALSE),0)</f>
        <v>54</v>
      </c>
      <c r="H86" s="36">
        <f>IFERROR(D86-VLOOKUP($A86,'Wikia | Gehege'!$A:$AL,19,FALSE),0)</f>
        <v>0</v>
      </c>
      <c r="I86" s="37">
        <f>IFERROR(E86-VLOOKUP($A86,'Wikia | Gehege'!$A:$AL,20,FALSE),0)</f>
        <v>0</v>
      </c>
      <c r="J86" s="35">
        <f>IFERROR(IF(VLOOKUP($A86,'Wikia | Gehege'!$A:$AL,26,FALSE)=1,VLOOKUP($A86,'Wikia | Gehege'!$A:$AL,17,FALSE),VLOOKUP($A86,'Wikia | Gehege'!$A:$AL,17,FALSE)+VLOOKUP($A86,'Wikia | Gehege'!$A:$AL,26,FALSE)*($F86)-1*$F86),0)</f>
        <v>534</v>
      </c>
      <c r="K86" s="36">
        <f>IFERROR(IF(VLOOKUP($A86,'Wikia | Gehege'!$A:$AL,26,FALSE)=1,VLOOKUP($A86,'Wikia | Gehege'!$A:$AL,18,FALSE),VLOOKUP($A86,'Wikia | Gehege'!$A:$AL,18,FALSE)+VLOOKUP($A86,'Wikia | Gehege'!$A:$AL,26,FALSE)*($G86)-1*$G86),0)</f>
        <v>81</v>
      </c>
      <c r="L86" s="36">
        <f>IFERROR(IF(VLOOKUP($A86,'Wikia | Gehege'!$A:$AL,26,FALSE)=1,VLOOKUP($A86,'Wikia | Gehege'!$A:$AL,19,FALSE),VLOOKUP($A86,'Wikia | Gehege'!$A:$AL,19,FALSE)+VLOOKUP($A86,'Wikia | Gehege'!$A:$AL,26,FALSE)*($H86)-1*$H86),0)</f>
        <v>0</v>
      </c>
      <c r="M86" s="37">
        <f>IFERROR(IF(VLOOKUP($A86,'Wikia | Gehege'!$A:$AL,26,FALSE)=1,VLOOKUP($A86,'Wikia | Gehege'!$A:$AL,20,FALSE),VLOOKUP($A86,'Wikia | Gehege'!$A:$AL,20,FALSE)+VLOOKUP($A86,'Wikia | Gehege'!$A:$AL,26,FALSE)*($I86)-1*$I86),0)</f>
        <v>0</v>
      </c>
      <c r="N86" s="35">
        <f>IFERROR(IF(VLOOKUP($A86,'Wikia | Gehege'!$A:$AL,27,FALSE)=1,VLOOKUP($A86,'Wikia | Gehege'!$A:$AL,17,FALSE),VLOOKUP($A86,'Wikia | Gehege'!$A:$AL,17,FALSE)+VLOOKUP($A86,'Wikia | Gehege'!$A:$AL,27,FALSE)*($F86)-1*$F86),0)</f>
        <v>645</v>
      </c>
      <c r="O86" s="36">
        <f>IFERROR(IF(VLOOKUP($A86,'Wikia | Gehege'!$A:$AL,27,FALSE)=1,VLOOKUP($A86,'Wikia | Gehege'!$A:$AL,18,FALSE),VLOOKUP($A86,'Wikia | Gehege'!$A:$AL,18,FALSE)+VLOOKUP($A86,'Wikia | Gehege'!$A:$AL,27,FALSE)*($G86)-1*$G86),0)</f>
        <v>135</v>
      </c>
      <c r="P86" s="36">
        <f>IFERROR(IF(VLOOKUP($A86,'Wikia | Gehege'!$A:$AL,27,FALSE)=1,VLOOKUP($A86,'Wikia | Gehege'!$A:$AL,19,FALSE),VLOOKUP($A86,'Wikia | Gehege'!$A:$AL,19,FALSE)+VLOOKUP($A86,'Wikia | Gehege'!$A:$AL,27,FALSE)*($H86)-1*$H86),0)</f>
        <v>0</v>
      </c>
      <c r="Q86" s="37">
        <f>IFERROR(IF(VLOOKUP($A86,'Wikia | Gehege'!$A:$AL,27,FALSE)=1,VLOOKUP($A86,'Wikia | Gehege'!$A:$AL,20,FALSE),VLOOKUP($A86,'Wikia | Gehege'!$A:$AL,20,FALSE)+VLOOKUP($A86,'Wikia | Gehege'!$A:$AL,27,FALSE)*($I86)-1*$I86),0)</f>
        <v>0</v>
      </c>
      <c r="R86" s="87"/>
      <c r="S86" s="94"/>
      <c r="T86" s="38">
        <f>IFERROR(VLOOKUP($A86,'Wikia | Gehege'!$A:$AL,17,FALSE)+(($S86-1)*$F86),0)</f>
        <v>423</v>
      </c>
      <c r="U86" s="38">
        <f>IFERROR(VLOOKUP($A86,'Wikia | Gehege'!$A:$AL,18,FALSE)+(($S86-1)*$G86),0)</f>
        <v>27</v>
      </c>
      <c r="V86" s="38">
        <f>IFERROR(VLOOKUP($A86,'Wikia | Gehege'!$A:$AL,19,FALSE)+(($S86-1)*$H86),0)</f>
        <v>0</v>
      </c>
      <c r="W86" s="85">
        <f>IFERROR(VLOOKUP($A86,'Wikia | Gehege'!$A:$AL,20,FALSE)+(($S86-1)*$I86),0)</f>
        <v>0</v>
      </c>
      <c r="X86" s="87"/>
    </row>
    <row r="87" spans="1:24" ht="35.1" customHeight="1" x14ac:dyDescent="0.2">
      <c r="A87" s="140" t="str">
        <f>'Wikia | Gehege'!A87</f>
        <v xml:space="preserve">Netzgiraffe </v>
      </c>
      <c r="B87" s="35">
        <v>1638</v>
      </c>
      <c r="C87" s="36">
        <v>0</v>
      </c>
      <c r="D87" s="36">
        <v>0</v>
      </c>
      <c r="E87" s="37">
        <v>0</v>
      </c>
      <c r="F87" s="35">
        <f>IFERROR(B87-VLOOKUP($A87,'Wikia | Gehege'!$A:$AL,17,FALSE),0)</f>
        <v>332</v>
      </c>
      <c r="G87" s="36">
        <f>IFERROR(C87-VLOOKUP($A87,'Wikia | Gehege'!$A:$AL,18,FALSE),0)</f>
        <v>0</v>
      </c>
      <c r="H87" s="36">
        <f>IFERROR(D87-VLOOKUP($A87,'Wikia | Gehege'!$A:$AL,19,FALSE),0)</f>
        <v>0</v>
      </c>
      <c r="I87" s="37">
        <f>IFERROR(E87-VLOOKUP($A87,'Wikia | Gehege'!$A:$AL,20,FALSE),0)</f>
        <v>0</v>
      </c>
      <c r="J87" s="35">
        <f>IFERROR(IF(VLOOKUP($A87,'Wikia | Gehege'!$A:$AL,26,FALSE)=1,VLOOKUP($A87,'Wikia | Gehege'!$A:$AL,17,FALSE),VLOOKUP($A87,'Wikia | Gehege'!$A:$AL,17,FALSE)+VLOOKUP($A87,'Wikia | Gehege'!$A:$AL,26,FALSE)*($F87)-1*$F87),0)</f>
        <v>1638</v>
      </c>
      <c r="K87" s="36">
        <f>IFERROR(IF(VLOOKUP($A87,'Wikia | Gehege'!$A:$AL,26,FALSE)=1,VLOOKUP($A87,'Wikia | Gehege'!$A:$AL,18,FALSE),VLOOKUP($A87,'Wikia | Gehege'!$A:$AL,18,FALSE)+VLOOKUP($A87,'Wikia | Gehege'!$A:$AL,26,FALSE)*($G87)-1*$G87),0)</f>
        <v>0</v>
      </c>
      <c r="L87" s="36">
        <f>IFERROR(IF(VLOOKUP($A87,'Wikia | Gehege'!$A:$AL,26,FALSE)=1,VLOOKUP($A87,'Wikia | Gehege'!$A:$AL,19,FALSE),VLOOKUP($A87,'Wikia | Gehege'!$A:$AL,19,FALSE)+VLOOKUP($A87,'Wikia | Gehege'!$A:$AL,26,FALSE)*($H87)-1*$H87),0)</f>
        <v>0</v>
      </c>
      <c r="M87" s="37">
        <f>IFERROR(IF(VLOOKUP($A87,'Wikia | Gehege'!$A:$AL,26,FALSE)=1,VLOOKUP($A87,'Wikia | Gehege'!$A:$AL,20,FALSE),VLOOKUP($A87,'Wikia | Gehege'!$A:$AL,20,FALSE)+VLOOKUP($A87,'Wikia | Gehege'!$A:$AL,26,FALSE)*($I87)-1*$I87),0)</f>
        <v>0</v>
      </c>
      <c r="N87" s="35">
        <f>IFERROR(IF(VLOOKUP($A87,'Wikia | Gehege'!$A:$AL,27,FALSE)=1,VLOOKUP($A87,'Wikia | Gehege'!$A:$AL,17,FALSE),VLOOKUP($A87,'Wikia | Gehege'!$A:$AL,17,FALSE)+VLOOKUP($A87,'Wikia | Gehege'!$A:$AL,27,FALSE)*($F87)-1*$F87),0)</f>
        <v>4958</v>
      </c>
      <c r="O87" s="36">
        <f>IFERROR(IF(VLOOKUP($A87,'Wikia | Gehege'!$A:$AL,27,FALSE)=1,VLOOKUP($A87,'Wikia | Gehege'!$A:$AL,18,FALSE),VLOOKUP($A87,'Wikia | Gehege'!$A:$AL,18,FALSE)+VLOOKUP($A87,'Wikia | Gehege'!$A:$AL,27,FALSE)*($G87)-1*$G87),0)</f>
        <v>0</v>
      </c>
      <c r="P87" s="36">
        <f>IFERROR(IF(VLOOKUP($A87,'Wikia | Gehege'!$A:$AL,27,FALSE)=1,VLOOKUP($A87,'Wikia | Gehege'!$A:$AL,19,FALSE),VLOOKUP($A87,'Wikia | Gehege'!$A:$AL,19,FALSE)+VLOOKUP($A87,'Wikia | Gehege'!$A:$AL,27,FALSE)*($H87)-1*$H87),0)</f>
        <v>0</v>
      </c>
      <c r="Q87" s="37">
        <f>IFERROR(IF(VLOOKUP($A87,'Wikia | Gehege'!$A:$AL,27,FALSE)=1,VLOOKUP($A87,'Wikia | Gehege'!$A:$AL,20,FALSE),VLOOKUP($A87,'Wikia | Gehege'!$A:$AL,20,FALSE)+VLOOKUP($A87,'Wikia | Gehege'!$A:$AL,27,FALSE)*($I87)-1*$I87),0)</f>
        <v>0</v>
      </c>
      <c r="R87" s="87"/>
      <c r="S87" s="94"/>
      <c r="T87" s="38">
        <f>IFERROR(VLOOKUP($A87,'Wikia | Gehege'!$A:$AL,17,FALSE)+(($S87-1)*$F87),0)</f>
        <v>974</v>
      </c>
      <c r="U87" s="38">
        <f>IFERROR(VLOOKUP($A87,'Wikia | Gehege'!$A:$AL,18,FALSE)+(($S87-1)*$G87),0)</f>
        <v>0</v>
      </c>
      <c r="V87" s="38">
        <f>IFERROR(VLOOKUP($A87,'Wikia | Gehege'!$A:$AL,19,FALSE)+(($S87-1)*$H87),0)</f>
        <v>0</v>
      </c>
      <c r="W87" s="85">
        <f>IFERROR(VLOOKUP($A87,'Wikia | Gehege'!$A:$AL,20,FALSE)+(($S87-1)*$I87),0)</f>
        <v>0</v>
      </c>
      <c r="X87" s="87"/>
    </row>
    <row r="88" spans="1:24" ht="35.1" customHeight="1" x14ac:dyDescent="0.2">
      <c r="A88" s="140" t="str">
        <f>'Wikia | Gehege'!A88</f>
        <v>Neunbinden-Gürteltier</v>
      </c>
      <c r="B88" s="35">
        <v>198</v>
      </c>
      <c r="C88" s="36">
        <v>0</v>
      </c>
      <c r="D88" s="36">
        <v>0</v>
      </c>
      <c r="E88" s="37">
        <v>0</v>
      </c>
      <c r="F88" s="35">
        <f>IFERROR(B88-VLOOKUP($A88,'Wikia | Gehege'!$A:$AL,17,FALSE),0)</f>
        <v>16</v>
      </c>
      <c r="G88" s="36">
        <f>IFERROR(C88-VLOOKUP($A88,'Wikia | Gehege'!$A:$AL,18,FALSE),0)</f>
        <v>0</v>
      </c>
      <c r="H88" s="36">
        <f>IFERROR(D88-VLOOKUP($A88,'Wikia | Gehege'!$A:$AL,19,FALSE),0)</f>
        <v>0</v>
      </c>
      <c r="I88" s="37">
        <f>IFERROR(E88-VLOOKUP($A88,'Wikia | Gehege'!$A:$AL,20,FALSE),0)</f>
        <v>0</v>
      </c>
      <c r="J88" s="35">
        <f>IFERROR(IF(VLOOKUP($A88,'Wikia | Gehege'!$A:$AL,26,FALSE)=1,VLOOKUP($A88,'Wikia | Gehege'!$A:$AL,17,FALSE),VLOOKUP($A88,'Wikia | Gehege'!$A:$AL,17,FALSE)+VLOOKUP($A88,'Wikia | Gehege'!$A:$AL,26,FALSE)*($F88)-1*$F88),0)</f>
        <v>182</v>
      </c>
      <c r="K88" s="36">
        <f>IFERROR(IF(VLOOKUP($A88,'Wikia | Gehege'!$A:$AL,26,FALSE)=1,VLOOKUP($A88,'Wikia | Gehege'!$A:$AL,18,FALSE),VLOOKUP($A88,'Wikia | Gehege'!$A:$AL,18,FALSE)+VLOOKUP($A88,'Wikia | Gehege'!$A:$AL,26,FALSE)*($G88)-1*$G88),0)</f>
        <v>0</v>
      </c>
      <c r="L88" s="36">
        <f>IFERROR(IF(VLOOKUP($A88,'Wikia | Gehege'!$A:$AL,26,FALSE)=1,VLOOKUP($A88,'Wikia | Gehege'!$A:$AL,19,FALSE),VLOOKUP($A88,'Wikia | Gehege'!$A:$AL,19,FALSE)+VLOOKUP($A88,'Wikia | Gehege'!$A:$AL,26,FALSE)*($H88)-1*$H88),0)</f>
        <v>0</v>
      </c>
      <c r="M88" s="37">
        <f>IFERROR(IF(VLOOKUP($A88,'Wikia | Gehege'!$A:$AL,26,FALSE)=1,VLOOKUP($A88,'Wikia | Gehege'!$A:$AL,20,FALSE),VLOOKUP($A88,'Wikia | Gehege'!$A:$AL,20,FALSE)+VLOOKUP($A88,'Wikia | Gehege'!$A:$AL,26,FALSE)*($I88)-1*$I88),0)</f>
        <v>0</v>
      </c>
      <c r="N88" s="35">
        <f>IFERROR(IF(VLOOKUP($A88,'Wikia | Gehege'!$A:$AL,27,FALSE)=1,VLOOKUP($A88,'Wikia | Gehege'!$A:$AL,17,FALSE),VLOOKUP($A88,'Wikia | Gehege'!$A:$AL,17,FALSE)+VLOOKUP($A88,'Wikia | Gehege'!$A:$AL,27,FALSE)*($F88)-1*$F88),0)</f>
        <v>198</v>
      </c>
      <c r="O88" s="36">
        <f>IFERROR(IF(VLOOKUP($A88,'Wikia | Gehege'!$A:$AL,27,FALSE)=1,VLOOKUP($A88,'Wikia | Gehege'!$A:$AL,18,FALSE),VLOOKUP($A88,'Wikia | Gehege'!$A:$AL,18,FALSE)+VLOOKUP($A88,'Wikia | Gehege'!$A:$AL,27,FALSE)*($G88)-1*$G88),0)</f>
        <v>0</v>
      </c>
      <c r="P88" s="36">
        <f>IFERROR(IF(VLOOKUP($A88,'Wikia | Gehege'!$A:$AL,27,FALSE)=1,VLOOKUP($A88,'Wikia | Gehege'!$A:$AL,19,FALSE),VLOOKUP($A88,'Wikia | Gehege'!$A:$AL,19,FALSE)+VLOOKUP($A88,'Wikia | Gehege'!$A:$AL,27,FALSE)*($H88)-1*$H88),0)</f>
        <v>0</v>
      </c>
      <c r="Q88" s="37">
        <f>IFERROR(IF(VLOOKUP($A88,'Wikia | Gehege'!$A:$AL,27,FALSE)=1,VLOOKUP($A88,'Wikia | Gehege'!$A:$AL,20,FALSE),VLOOKUP($A88,'Wikia | Gehege'!$A:$AL,20,FALSE)+VLOOKUP($A88,'Wikia | Gehege'!$A:$AL,27,FALSE)*($I88)-1*$I88),0)</f>
        <v>0</v>
      </c>
      <c r="R88" s="87"/>
      <c r="S88" s="94"/>
      <c r="T88" s="38">
        <f>IFERROR(VLOOKUP($A88,'Wikia | Gehege'!$A:$AL,17,FALSE)+(($S88-1)*$F88),0)</f>
        <v>166</v>
      </c>
      <c r="U88" s="38">
        <f>IFERROR(VLOOKUP($A88,'Wikia | Gehege'!$A:$AL,18,FALSE)+(($S88-1)*$G88),0)</f>
        <v>0</v>
      </c>
      <c r="V88" s="38">
        <f>IFERROR(VLOOKUP($A88,'Wikia | Gehege'!$A:$AL,19,FALSE)+(($S88-1)*$H88),0)</f>
        <v>0</v>
      </c>
      <c r="W88" s="85">
        <f>IFERROR(VLOOKUP($A88,'Wikia | Gehege'!$A:$AL,20,FALSE)+(($S88-1)*$I88),0)</f>
        <v>0</v>
      </c>
      <c r="X88" s="87"/>
    </row>
    <row r="89" spans="1:24" ht="35.1" customHeight="1" x14ac:dyDescent="0.2">
      <c r="A89" s="140" t="str">
        <f>'Wikia | Gehege'!A89</f>
        <v xml:space="preserve">Nilwaran </v>
      </c>
      <c r="B89" s="35">
        <v>325</v>
      </c>
      <c r="C89" s="36">
        <v>0</v>
      </c>
      <c r="D89" s="36">
        <v>94</v>
      </c>
      <c r="E89" s="37">
        <v>0</v>
      </c>
      <c r="F89" s="35">
        <f>IFERROR(B89-VLOOKUP($A89,'Wikia | Gehege'!$A:$AL,17,FALSE),0)</f>
        <v>25</v>
      </c>
      <c r="G89" s="36">
        <f>IFERROR(C89-VLOOKUP($A89,'Wikia | Gehege'!$A:$AL,18,FALSE),0)</f>
        <v>0</v>
      </c>
      <c r="H89" s="36">
        <f>IFERROR(D89-VLOOKUP($A89,'Wikia | Gehege'!$A:$AL,19,FALSE),0)</f>
        <v>19</v>
      </c>
      <c r="I89" s="37">
        <f>IFERROR(E89-VLOOKUP($A89,'Wikia | Gehege'!$A:$AL,20,FALSE),0)</f>
        <v>0</v>
      </c>
      <c r="J89" s="35">
        <f>IFERROR(IF(VLOOKUP($A89,'Wikia | Gehege'!$A:$AL,26,FALSE)=1,VLOOKUP($A89,'Wikia | Gehege'!$A:$AL,17,FALSE),VLOOKUP($A89,'Wikia | Gehege'!$A:$AL,17,FALSE)+VLOOKUP($A89,'Wikia | Gehege'!$A:$AL,26,FALSE)*($F89)-1*$F89),0)</f>
        <v>300</v>
      </c>
      <c r="K89" s="36">
        <f>IFERROR(IF(VLOOKUP($A89,'Wikia | Gehege'!$A:$AL,26,FALSE)=1,VLOOKUP($A89,'Wikia | Gehege'!$A:$AL,18,FALSE),VLOOKUP($A89,'Wikia | Gehege'!$A:$AL,18,FALSE)+VLOOKUP($A89,'Wikia | Gehege'!$A:$AL,26,FALSE)*($G89)-1*$G89),0)</f>
        <v>0</v>
      </c>
      <c r="L89" s="36">
        <f>IFERROR(IF(VLOOKUP($A89,'Wikia | Gehege'!$A:$AL,26,FALSE)=1,VLOOKUP($A89,'Wikia | Gehege'!$A:$AL,19,FALSE),VLOOKUP($A89,'Wikia | Gehege'!$A:$AL,19,FALSE)+VLOOKUP($A89,'Wikia | Gehege'!$A:$AL,26,FALSE)*($H89)-1*$H89),0)</f>
        <v>75</v>
      </c>
      <c r="M89" s="37">
        <f>IFERROR(IF(VLOOKUP($A89,'Wikia | Gehege'!$A:$AL,26,FALSE)=1,VLOOKUP($A89,'Wikia | Gehege'!$A:$AL,20,FALSE),VLOOKUP($A89,'Wikia | Gehege'!$A:$AL,20,FALSE)+VLOOKUP($A89,'Wikia | Gehege'!$A:$AL,26,FALSE)*($I89)-1*$I89),0)</f>
        <v>0</v>
      </c>
      <c r="N89" s="35">
        <f>IFERROR(IF(VLOOKUP($A89,'Wikia | Gehege'!$A:$AL,27,FALSE)=1,VLOOKUP($A89,'Wikia | Gehege'!$A:$AL,17,FALSE),VLOOKUP($A89,'Wikia | Gehege'!$A:$AL,17,FALSE)+VLOOKUP($A89,'Wikia | Gehege'!$A:$AL,27,FALSE)*($F89)-1*$F89),0)</f>
        <v>350</v>
      </c>
      <c r="O89" s="36">
        <f>IFERROR(IF(VLOOKUP($A89,'Wikia | Gehege'!$A:$AL,27,FALSE)=1,VLOOKUP($A89,'Wikia | Gehege'!$A:$AL,18,FALSE),VLOOKUP($A89,'Wikia | Gehege'!$A:$AL,18,FALSE)+VLOOKUP($A89,'Wikia | Gehege'!$A:$AL,27,FALSE)*($G89)-1*$G89),0)</f>
        <v>0</v>
      </c>
      <c r="P89" s="36">
        <f>IFERROR(IF(VLOOKUP($A89,'Wikia | Gehege'!$A:$AL,27,FALSE)=1,VLOOKUP($A89,'Wikia | Gehege'!$A:$AL,19,FALSE),VLOOKUP($A89,'Wikia | Gehege'!$A:$AL,19,FALSE)+VLOOKUP($A89,'Wikia | Gehege'!$A:$AL,27,FALSE)*($H89)-1*$H89),0)</f>
        <v>113</v>
      </c>
      <c r="Q89" s="37">
        <f>IFERROR(IF(VLOOKUP($A89,'Wikia | Gehege'!$A:$AL,27,FALSE)=1,VLOOKUP($A89,'Wikia | Gehege'!$A:$AL,20,FALSE),VLOOKUP($A89,'Wikia | Gehege'!$A:$AL,20,FALSE)+VLOOKUP($A89,'Wikia | Gehege'!$A:$AL,27,FALSE)*($I89)-1*$I89),0)</f>
        <v>0</v>
      </c>
      <c r="R89" s="87"/>
      <c r="S89" s="94"/>
      <c r="T89" s="38">
        <f>IFERROR(VLOOKUP($A89,'Wikia | Gehege'!$A:$AL,17,FALSE)+(($S89-1)*$F89),0)</f>
        <v>275</v>
      </c>
      <c r="U89" s="38">
        <f>IFERROR(VLOOKUP($A89,'Wikia | Gehege'!$A:$AL,18,FALSE)+(($S89-1)*$G89),0)</f>
        <v>0</v>
      </c>
      <c r="V89" s="38">
        <f>IFERROR(VLOOKUP($A89,'Wikia | Gehege'!$A:$AL,19,FALSE)+(($S89-1)*$H89),0)</f>
        <v>56</v>
      </c>
      <c r="W89" s="85">
        <f>IFERROR(VLOOKUP($A89,'Wikia | Gehege'!$A:$AL,20,FALSE)+(($S89-1)*$I89),0)</f>
        <v>0</v>
      </c>
      <c r="X89" s="87"/>
    </row>
    <row r="90" spans="1:24" ht="35.1" customHeight="1" x14ac:dyDescent="0.2">
      <c r="A90" s="140" t="str">
        <f>'Wikia | Gehege'!A90</f>
        <v>Nördlicher Streifenkiwi</v>
      </c>
      <c r="B90" s="35">
        <v>200</v>
      </c>
      <c r="C90" s="36">
        <v>0</v>
      </c>
      <c r="D90" s="36">
        <v>0</v>
      </c>
      <c r="E90" s="37">
        <v>0</v>
      </c>
      <c r="F90" s="35">
        <f>IFERROR(B90-VLOOKUP($A90,'Wikia | Gehege'!$A:$AL,17,FALSE),0)</f>
        <v>20</v>
      </c>
      <c r="G90" s="36">
        <f>IFERROR(C90-VLOOKUP($A90,'Wikia | Gehege'!$A:$AL,18,FALSE),0)</f>
        <v>0</v>
      </c>
      <c r="H90" s="36">
        <f>IFERROR(D90-VLOOKUP($A90,'Wikia | Gehege'!$A:$AL,19,FALSE),0)</f>
        <v>0</v>
      </c>
      <c r="I90" s="37">
        <f>IFERROR(E90-VLOOKUP($A90,'Wikia | Gehege'!$A:$AL,20,FALSE),0)</f>
        <v>0</v>
      </c>
      <c r="J90" s="35">
        <f>IFERROR(IF(VLOOKUP($A90,'Wikia | Gehege'!$A:$AL,26,FALSE)=1,VLOOKUP($A90,'Wikia | Gehege'!$A:$AL,17,FALSE),VLOOKUP($A90,'Wikia | Gehege'!$A:$AL,17,FALSE)+VLOOKUP($A90,'Wikia | Gehege'!$A:$AL,26,FALSE)*($F90)-1*$F90),0)</f>
        <v>180</v>
      </c>
      <c r="K90" s="36">
        <f>IFERROR(IF(VLOOKUP($A90,'Wikia | Gehege'!$A:$AL,26,FALSE)=1,VLOOKUP($A90,'Wikia | Gehege'!$A:$AL,18,FALSE),VLOOKUP($A90,'Wikia | Gehege'!$A:$AL,18,FALSE)+VLOOKUP($A90,'Wikia | Gehege'!$A:$AL,26,FALSE)*($G90)-1*$G90),0)</f>
        <v>0</v>
      </c>
      <c r="L90" s="36">
        <f>IFERROR(IF(VLOOKUP($A90,'Wikia | Gehege'!$A:$AL,26,FALSE)=1,VLOOKUP($A90,'Wikia | Gehege'!$A:$AL,19,FALSE),VLOOKUP($A90,'Wikia | Gehege'!$A:$AL,19,FALSE)+VLOOKUP($A90,'Wikia | Gehege'!$A:$AL,26,FALSE)*($H90)-1*$H90),0)</f>
        <v>0</v>
      </c>
      <c r="M90" s="37">
        <f>IFERROR(IF(VLOOKUP($A90,'Wikia | Gehege'!$A:$AL,26,FALSE)=1,VLOOKUP($A90,'Wikia | Gehege'!$A:$AL,20,FALSE),VLOOKUP($A90,'Wikia | Gehege'!$A:$AL,20,FALSE)+VLOOKUP($A90,'Wikia | Gehege'!$A:$AL,26,FALSE)*($I90)-1*$I90),0)</f>
        <v>0</v>
      </c>
      <c r="N90" s="35">
        <f>IFERROR(IF(VLOOKUP($A90,'Wikia | Gehege'!$A:$AL,27,FALSE)=1,VLOOKUP($A90,'Wikia | Gehege'!$A:$AL,17,FALSE),VLOOKUP($A90,'Wikia | Gehege'!$A:$AL,17,FALSE)+VLOOKUP($A90,'Wikia | Gehege'!$A:$AL,27,FALSE)*($F90)-1*$F90),0)</f>
        <v>200</v>
      </c>
      <c r="O90" s="36">
        <f>IFERROR(IF(VLOOKUP($A90,'Wikia | Gehege'!$A:$AL,27,FALSE)=1,VLOOKUP($A90,'Wikia | Gehege'!$A:$AL,18,FALSE),VLOOKUP($A90,'Wikia | Gehege'!$A:$AL,18,FALSE)+VLOOKUP($A90,'Wikia | Gehege'!$A:$AL,27,FALSE)*($G90)-1*$G90),0)</f>
        <v>0</v>
      </c>
      <c r="P90" s="36">
        <f>IFERROR(IF(VLOOKUP($A90,'Wikia | Gehege'!$A:$AL,27,FALSE)=1,VLOOKUP($A90,'Wikia | Gehege'!$A:$AL,19,FALSE),VLOOKUP($A90,'Wikia | Gehege'!$A:$AL,19,FALSE)+VLOOKUP($A90,'Wikia | Gehege'!$A:$AL,27,FALSE)*($H90)-1*$H90),0)</f>
        <v>0</v>
      </c>
      <c r="Q90" s="37">
        <f>IFERROR(IF(VLOOKUP($A90,'Wikia | Gehege'!$A:$AL,27,FALSE)=1,VLOOKUP($A90,'Wikia | Gehege'!$A:$AL,20,FALSE),VLOOKUP($A90,'Wikia | Gehege'!$A:$AL,20,FALSE)+VLOOKUP($A90,'Wikia | Gehege'!$A:$AL,27,FALSE)*($I90)-1*$I90),0)</f>
        <v>0</v>
      </c>
      <c r="R90" s="87"/>
      <c r="S90" s="94"/>
      <c r="T90" s="38">
        <f>IFERROR(VLOOKUP($A90,'Wikia | Gehege'!$A:$AL,17,FALSE)+(($S90-1)*$F90),0)</f>
        <v>160</v>
      </c>
      <c r="U90" s="38">
        <f>IFERROR(VLOOKUP($A90,'Wikia | Gehege'!$A:$AL,18,FALSE)+(($S90-1)*$G90),0)</f>
        <v>0</v>
      </c>
      <c r="V90" s="38">
        <f>IFERROR(VLOOKUP($A90,'Wikia | Gehege'!$A:$AL,19,FALSE)+(($S90-1)*$H90),0)</f>
        <v>0</v>
      </c>
      <c r="W90" s="85">
        <f>IFERROR(VLOOKUP($A90,'Wikia | Gehege'!$A:$AL,20,FALSE)+(($S90-1)*$I90),0)</f>
        <v>0</v>
      </c>
      <c r="X90" s="87"/>
    </row>
    <row r="91" spans="1:24" ht="35.1" customHeight="1" x14ac:dyDescent="0.2">
      <c r="A91" s="140" t="str">
        <f>'Wikia | Gehege'!A91</f>
        <v>Nordsulawesisches Babirusa</v>
      </c>
      <c r="B91" s="35">
        <v>305</v>
      </c>
      <c r="C91" s="36">
        <v>0</v>
      </c>
      <c r="D91" s="36">
        <v>0</v>
      </c>
      <c r="E91" s="37">
        <v>0</v>
      </c>
      <c r="F91" s="35">
        <f>IFERROR(B91-VLOOKUP($A91,'Wikia | Gehege'!$A:$AL,17,FALSE),0)</f>
        <v>15</v>
      </c>
      <c r="G91" s="36">
        <f>IFERROR(C91-VLOOKUP($A91,'Wikia | Gehege'!$A:$AL,18,FALSE),0)</f>
        <v>0</v>
      </c>
      <c r="H91" s="36">
        <f>IFERROR(D91-VLOOKUP($A91,'Wikia | Gehege'!$A:$AL,19,FALSE),0)</f>
        <v>0</v>
      </c>
      <c r="I91" s="37">
        <f>IFERROR(E91-VLOOKUP($A91,'Wikia | Gehege'!$A:$AL,20,FALSE),0)</f>
        <v>0</v>
      </c>
      <c r="J91" s="35">
        <f>IFERROR(IF(VLOOKUP($A91,'Wikia | Gehege'!$A:$AL,26,FALSE)=1,VLOOKUP($A91,'Wikia | Gehege'!$A:$AL,17,FALSE),VLOOKUP($A91,'Wikia | Gehege'!$A:$AL,17,FALSE)+VLOOKUP($A91,'Wikia | Gehege'!$A:$AL,26,FALSE)*($F91)-1*$F91),0)</f>
        <v>290</v>
      </c>
      <c r="K91" s="36">
        <f>IFERROR(IF(VLOOKUP($A91,'Wikia | Gehege'!$A:$AL,26,FALSE)=1,VLOOKUP($A91,'Wikia | Gehege'!$A:$AL,18,FALSE),VLOOKUP($A91,'Wikia | Gehege'!$A:$AL,18,FALSE)+VLOOKUP($A91,'Wikia | Gehege'!$A:$AL,26,FALSE)*($G91)-1*$G91),0)</f>
        <v>0</v>
      </c>
      <c r="L91" s="36">
        <f>IFERROR(IF(VLOOKUP($A91,'Wikia | Gehege'!$A:$AL,26,FALSE)=1,VLOOKUP($A91,'Wikia | Gehege'!$A:$AL,19,FALSE),VLOOKUP($A91,'Wikia | Gehege'!$A:$AL,19,FALSE)+VLOOKUP($A91,'Wikia | Gehege'!$A:$AL,26,FALSE)*($H91)-1*$H91),0)</f>
        <v>0</v>
      </c>
      <c r="M91" s="37">
        <f>IFERROR(IF(VLOOKUP($A91,'Wikia | Gehege'!$A:$AL,26,FALSE)=1,VLOOKUP($A91,'Wikia | Gehege'!$A:$AL,20,FALSE),VLOOKUP($A91,'Wikia | Gehege'!$A:$AL,20,FALSE)+VLOOKUP($A91,'Wikia | Gehege'!$A:$AL,26,FALSE)*($I91)-1*$I91),0)</f>
        <v>0</v>
      </c>
      <c r="N91" s="35">
        <f>IFERROR(IF(VLOOKUP($A91,'Wikia | Gehege'!$A:$AL,27,FALSE)=1,VLOOKUP($A91,'Wikia | Gehege'!$A:$AL,17,FALSE),VLOOKUP($A91,'Wikia | Gehege'!$A:$AL,17,FALSE)+VLOOKUP($A91,'Wikia | Gehege'!$A:$AL,27,FALSE)*($F91)-1*$F91),0)</f>
        <v>350</v>
      </c>
      <c r="O91" s="36">
        <f>IFERROR(IF(VLOOKUP($A91,'Wikia | Gehege'!$A:$AL,27,FALSE)=1,VLOOKUP($A91,'Wikia | Gehege'!$A:$AL,18,FALSE),VLOOKUP($A91,'Wikia | Gehege'!$A:$AL,18,FALSE)+VLOOKUP($A91,'Wikia | Gehege'!$A:$AL,27,FALSE)*($G91)-1*$G91),0)</f>
        <v>0</v>
      </c>
      <c r="P91" s="36">
        <f>IFERROR(IF(VLOOKUP($A91,'Wikia | Gehege'!$A:$AL,27,FALSE)=1,VLOOKUP($A91,'Wikia | Gehege'!$A:$AL,19,FALSE),VLOOKUP($A91,'Wikia | Gehege'!$A:$AL,19,FALSE)+VLOOKUP($A91,'Wikia | Gehege'!$A:$AL,27,FALSE)*($H91)-1*$H91),0)</f>
        <v>0</v>
      </c>
      <c r="Q91" s="37">
        <f>IFERROR(IF(VLOOKUP($A91,'Wikia | Gehege'!$A:$AL,27,FALSE)=1,VLOOKUP($A91,'Wikia | Gehege'!$A:$AL,20,FALSE),VLOOKUP($A91,'Wikia | Gehege'!$A:$AL,20,FALSE)+VLOOKUP($A91,'Wikia | Gehege'!$A:$AL,27,FALSE)*($I91)-1*$I91),0)</f>
        <v>0</v>
      </c>
      <c r="R91" s="87"/>
      <c r="S91" s="94"/>
      <c r="T91" s="38">
        <f>IFERROR(VLOOKUP($A91,'Wikia | Gehege'!$A:$AL,17,FALSE)+(($S91-1)*$F91),0)</f>
        <v>275</v>
      </c>
      <c r="U91" s="38">
        <f>IFERROR(VLOOKUP($A91,'Wikia | Gehege'!$A:$AL,18,FALSE)+(($S91-1)*$G91),0)</f>
        <v>0</v>
      </c>
      <c r="V91" s="38">
        <f>IFERROR(VLOOKUP($A91,'Wikia | Gehege'!$A:$AL,19,FALSE)+(($S91-1)*$H91),0)</f>
        <v>0</v>
      </c>
      <c r="W91" s="85">
        <f>IFERROR(VLOOKUP($A91,'Wikia | Gehege'!$A:$AL,20,FALSE)+(($S91-1)*$I91),0)</f>
        <v>0</v>
      </c>
      <c r="X91" s="87"/>
    </row>
    <row r="92" spans="1:24" ht="35.1" customHeight="1" x14ac:dyDescent="0.2">
      <c r="A92" s="140" t="str">
        <f>'Wikia | Gehege'!A92</f>
        <v xml:space="preserve">Nyala </v>
      </c>
      <c r="B92" s="35">
        <v>330</v>
      </c>
      <c r="C92" s="36">
        <v>0</v>
      </c>
      <c r="D92" s="36">
        <v>0</v>
      </c>
      <c r="E92" s="37">
        <v>0</v>
      </c>
      <c r="F92" s="35">
        <f>IFERROR(B92-VLOOKUP($A92,'Wikia | Gehege'!$A:$AL,17,FALSE),0)</f>
        <v>30</v>
      </c>
      <c r="G92" s="36">
        <f>IFERROR(C92-VLOOKUP($A92,'Wikia | Gehege'!$A:$AL,18,FALSE),0)</f>
        <v>0</v>
      </c>
      <c r="H92" s="36">
        <f>IFERROR(D92-VLOOKUP($A92,'Wikia | Gehege'!$A:$AL,19,FALSE),0)</f>
        <v>0</v>
      </c>
      <c r="I92" s="37">
        <f>IFERROR(E92-VLOOKUP($A92,'Wikia | Gehege'!$A:$AL,20,FALSE),0)</f>
        <v>0</v>
      </c>
      <c r="J92" s="35">
        <f>IFERROR(IF(VLOOKUP($A92,'Wikia | Gehege'!$A:$AL,26,FALSE)=1,VLOOKUP($A92,'Wikia | Gehege'!$A:$AL,17,FALSE),VLOOKUP($A92,'Wikia | Gehege'!$A:$AL,17,FALSE)+VLOOKUP($A92,'Wikia | Gehege'!$A:$AL,26,FALSE)*($F92)-1*$F92),0)</f>
        <v>300</v>
      </c>
      <c r="K92" s="36">
        <f>IFERROR(IF(VLOOKUP($A92,'Wikia | Gehege'!$A:$AL,26,FALSE)=1,VLOOKUP($A92,'Wikia | Gehege'!$A:$AL,18,FALSE),VLOOKUP($A92,'Wikia | Gehege'!$A:$AL,18,FALSE)+VLOOKUP($A92,'Wikia | Gehege'!$A:$AL,26,FALSE)*($G92)-1*$G92),0)</f>
        <v>0</v>
      </c>
      <c r="L92" s="36">
        <f>IFERROR(IF(VLOOKUP($A92,'Wikia | Gehege'!$A:$AL,26,FALSE)=1,VLOOKUP($A92,'Wikia | Gehege'!$A:$AL,19,FALSE),VLOOKUP($A92,'Wikia | Gehege'!$A:$AL,19,FALSE)+VLOOKUP($A92,'Wikia | Gehege'!$A:$AL,26,FALSE)*($H92)-1*$H92),0)</f>
        <v>0</v>
      </c>
      <c r="M92" s="37">
        <f>IFERROR(IF(VLOOKUP($A92,'Wikia | Gehege'!$A:$AL,26,FALSE)=1,VLOOKUP($A92,'Wikia | Gehege'!$A:$AL,20,FALSE),VLOOKUP($A92,'Wikia | Gehege'!$A:$AL,20,FALSE)+VLOOKUP($A92,'Wikia | Gehege'!$A:$AL,26,FALSE)*($I92)-1*$I92),0)</f>
        <v>0</v>
      </c>
      <c r="N92" s="35">
        <f>IFERROR(IF(VLOOKUP($A92,'Wikia | Gehege'!$A:$AL,27,FALSE)=1,VLOOKUP($A92,'Wikia | Gehege'!$A:$AL,17,FALSE),VLOOKUP($A92,'Wikia | Gehege'!$A:$AL,17,FALSE)+VLOOKUP($A92,'Wikia | Gehege'!$A:$AL,27,FALSE)*($F92)-1*$F92),0)</f>
        <v>420</v>
      </c>
      <c r="O92" s="36">
        <f>IFERROR(IF(VLOOKUP($A92,'Wikia | Gehege'!$A:$AL,27,FALSE)=1,VLOOKUP($A92,'Wikia | Gehege'!$A:$AL,18,FALSE),VLOOKUP($A92,'Wikia | Gehege'!$A:$AL,18,FALSE)+VLOOKUP($A92,'Wikia | Gehege'!$A:$AL,27,FALSE)*($G92)-1*$G92),0)</f>
        <v>0</v>
      </c>
      <c r="P92" s="36">
        <f>IFERROR(IF(VLOOKUP($A92,'Wikia | Gehege'!$A:$AL,27,FALSE)=1,VLOOKUP($A92,'Wikia | Gehege'!$A:$AL,19,FALSE),VLOOKUP($A92,'Wikia | Gehege'!$A:$AL,19,FALSE)+VLOOKUP($A92,'Wikia | Gehege'!$A:$AL,27,FALSE)*($H92)-1*$H92),0)</f>
        <v>0</v>
      </c>
      <c r="Q92" s="37">
        <f>IFERROR(IF(VLOOKUP($A92,'Wikia | Gehege'!$A:$AL,27,FALSE)=1,VLOOKUP($A92,'Wikia | Gehege'!$A:$AL,20,FALSE),VLOOKUP($A92,'Wikia | Gehege'!$A:$AL,20,FALSE)+VLOOKUP($A92,'Wikia | Gehege'!$A:$AL,27,FALSE)*($I92)-1*$I92),0)</f>
        <v>0</v>
      </c>
      <c r="R92" s="87"/>
      <c r="S92" s="94"/>
      <c r="T92" s="38">
        <f>IFERROR(VLOOKUP($A92,'Wikia | Gehege'!$A:$AL,17,FALSE)+(($S92-1)*$F92),0)</f>
        <v>270</v>
      </c>
      <c r="U92" s="38">
        <f>IFERROR(VLOOKUP($A92,'Wikia | Gehege'!$A:$AL,18,FALSE)+(($S92-1)*$G92),0)</f>
        <v>0</v>
      </c>
      <c r="V92" s="38">
        <f>IFERROR(VLOOKUP($A92,'Wikia | Gehege'!$A:$AL,19,FALSE)+(($S92-1)*$H92),0)</f>
        <v>0</v>
      </c>
      <c r="W92" s="85">
        <f>IFERROR(VLOOKUP($A92,'Wikia | Gehege'!$A:$AL,20,FALSE)+(($S92-1)*$I92),0)</f>
        <v>0</v>
      </c>
      <c r="X92" s="87"/>
    </row>
    <row r="93" spans="1:24" ht="35.1" customHeight="1" x14ac:dyDescent="0.2">
      <c r="A93" s="140" t="str">
        <f>'Wikia | Gehege'!A93</f>
        <v xml:space="preserve">Okapi </v>
      </c>
      <c r="B93" s="35">
        <v>1206</v>
      </c>
      <c r="C93" s="36">
        <v>0</v>
      </c>
      <c r="D93" s="36">
        <v>0</v>
      </c>
      <c r="E93" s="37">
        <v>0</v>
      </c>
      <c r="F93" s="35">
        <f>IFERROR(B93-VLOOKUP($A93,'Wikia | Gehege'!$A:$AL,17,FALSE),0)</f>
        <v>125</v>
      </c>
      <c r="G93" s="36">
        <f>IFERROR(C93-VLOOKUP($A93,'Wikia | Gehege'!$A:$AL,18,FALSE),0)</f>
        <v>0</v>
      </c>
      <c r="H93" s="36">
        <f>IFERROR(D93-VLOOKUP($A93,'Wikia | Gehege'!$A:$AL,19,FALSE),0)</f>
        <v>0</v>
      </c>
      <c r="I93" s="37">
        <f>IFERROR(E93-VLOOKUP($A93,'Wikia | Gehege'!$A:$AL,20,FALSE),0)</f>
        <v>0</v>
      </c>
      <c r="J93" s="35">
        <f>IFERROR(IF(VLOOKUP($A93,'Wikia | Gehege'!$A:$AL,26,FALSE)=1,VLOOKUP($A93,'Wikia | Gehege'!$A:$AL,17,FALSE),VLOOKUP($A93,'Wikia | Gehege'!$A:$AL,17,FALSE)+VLOOKUP($A93,'Wikia | Gehege'!$A:$AL,26,FALSE)*($F93)-1*$F93),0)</f>
        <v>1081</v>
      </c>
      <c r="K93" s="36">
        <f>IFERROR(IF(VLOOKUP($A93,'Wikia | Gehege'!$A:$AL,26,FALSE)=1,VLOOKUP($A93,'Wikia | Gehege'!$A:$AL,18,FALSE),VLOOKUP($A93,'Wikia | Gehege'!$A:$AL,18,FALSE)+VLOOKUP($A93,'Wikia | Gehege'!$A:$AL,26,FALSE)*($G93)-1*$G93),0)</f>
        <v>0</v>
      </c>
      <c r="L93" s="36">
        <f>IFERROR(IF(VLOOKUP($A93,'Wikia | Gehege'!$A:$AL,26,FALSE)=1,VLOOKUP($A93,'Wikia | Gehege'!$A:$AL,19,FALSE),VLOOKUP($A93,'Wikia | Gehege'!$A:$AL,19,FALSE)+VLOOKUP($A93,'Wikia | Gehege'!$A:$AL,26,FALSE)*($H93)-1*$H93),0)</f>
        <v>0</v>
      </c>
      <c r="M93" s="37">
        <f>IFERROR(IF(VLOOKUP($A93,'Wikia | Gehege'!$A:$AL,26,FALSE)=1,VLOOKUP($A93,'Wikia | Gehege'!$A:$AL,20,FALSE),VLOOKUP($A93,'Wikia | Gehege'!$A:$AL,20,FALSE)+VLOOKUP($A93,'Wikia | Gehege'!$A:$AL,26,FALSE)*($I93)-1*$I93),0)</f>
        <v>0</v>
      </c>
      <c r="N93" s="35">
        <f>IFERROR(IF(VLOOKUP($A93,'Wikia | Gehege'!$A:$AL,27,FALSE)=1,VLOOKUP($A93,'Wikia | Gehege'!$A:$AL,17,FALSE),VLOOKUP($A93,'Wikia | Gehege'!$A:$AL,17,FALSE)+VLOOKUP($A93,'Wikia | Gehege'!$A:$AL,27,FALSE)*($F93)-1*$F93),0)</f>
        <v>1206</v>
      </c>
      <c r="O93" s="36">
        <f>IFERROR(IF(VLOOKUP($A93,'Wikia | Gehege'!$A:$AL,27,FALSE)=1,VLOOKUP($A93,'Wikia | Gehege'!$A:$AL,18,FALSE),VLOOKUP($A93,'Wikia | Gehege'!$A:$AL,18,FALSE)+VLOOKUP($A93,'Wikia | Gehege'!$A:$AL,27,FALSE)*($G93)-1*$G93),0)</f>
        <v>0</v>
      </c>
      <c r="P93" s="36">
        <f>IFERROR(IF(VLOOKUP($A93,'Wikia | Gehege'!$A:$AL,27,FALSE)=1,VLOOKUP($A93,'Wikia | Gehege'!$A:$AL,19,FALSE),VLOOKUP($A93,'Wikia | Gehege'!$A:$AL,19,FALSE)+VLOOKUP($A93,'Wikia | Gehege'!$A:$AL,27,FALSE)*($H93)-1*$H93),0)</f>
        <v>0</v>
      </c>
      <c r="Q93" s="37">
        <f>IFERROR(IF(VLOOKUP($A93,'Wikia | Gehege'!$A:$AL,27,FALSE)=1,VLOOKUP($A93,'Wikia | Gehege'!$A:$AL,20,FALSE),VLOOKUP($A93,'Wikia | Gehege'!$A:$AL,20,FALSE)+VLOOKUP($A93,'Wikia | Gehege'!$A:$AL,27,FALSE)*($I93)-1*$I93),0)</f>
        <v>0</v>
      </c>
      <c r="R93" s="87"/>
      <c r="S93" s="94"/>
      <c r="T93" s="38">
        <f>IFERROR(VLOOKUP($A93,'Wikia | Gehege'!$A:$AL,17,FALSE)+(($S93-1)*$F93),0)</f>
        <v>956</v>
      </c>
      <c r="U93" s="38">
        <f>IFERROR(VLOOKUP($A93,'Wikia | Gehege'!$A:$AL,18,FALSE)+(($S93-1)*$G93),0)</f>
        <v>0</v>
      </c>
      <c r="V93" s="38">
        <f>IFERROR(VLOOKUP($A93,'Wikia | Gehege'!$A:$AL,19,FALSE)+(($S93-1)*$H93),0)</f>
        <v>0</v>
      </c>
      <c r="W93" s="85">
        <f>IFERROR(VLOOKUP($A93,'Wikia | Gehege'!$A:$AL,20,FALSE)+(($S93-1)*$I93),0)</f>
        <v>0</v>
      </c>
      <c r="X93" s="87"/>
    </row>
    <row r="94" spans="1:24" ht="35.1" customHeight="1" x14ac:dyDescent="0.2">
      <c r="A94" s="140" t="str">
        <f>'Wikia | Gehege'!A94</f>
        <v>Pallaskatze</v>
      </c>
      <c r="B94" s="35">
        <v>245</v>
      </c>
      <c r="C94" s="36">
        <v>0</v>
      </c>
      <c r="D94" s="36">
        <v>0</v>
      </c>
      <c r="E94" s="37">
        <v>0</v>
      </c>
      <c r="F94" s="35">
        <f>IFERROR(B94-VLOOKUP($A94,'Wikia | Gehege'!$A:$AL,17,FALSE),0)</f>
        <v>45</v>
      </c>
      <c r="G94" s="36">
        <f>IFERROR(C94-VLOOKUP($A94,'Wikia | Gehege'!$A:$AL,18,FALSE),0)</f>
        <v>0</v>
      </c>
      <c r="H94" s="36">
        <f>IFERROR(D94-VLOOKUP($A94,'Wikia | Gehege'!$A:$AL,19,FALSE),0)</f>
        <v>0</v>
      </c>
      <c r="I94" s="37">
        <f>IFERROR(E94-VLOOKUP($A94,'Wikia | Gehege'!$A:$AL,20,FALSE),0)</f>
        <v>0</v>
      </c>
      <c r="J94" s="35">
        <f>IFERROR(IF(VLOOKUP($A94,'Wikia | Gehege'!$A:$AL,26,FALSE)=1,VLOOKUP($A94,'Wikia | Gehege'!$A:$AL,17,FALSE),VLOOKUP($A94,'Wikia | Gehege'!$A:$AL,17,FALSE)+VLOOKUP($A94,'Wikia | Gehege'!$A:$AL,26,FALSE)*($F94)-1*$F94),0)</f>
        <v>200</v>
      </c>
      <c r="K94" s="36">
        <f>IFERROR(IF(VLOOKUP($A94,'Wikia | Gehege'!$A:$AL,26,FALSE)=1,VLOOKUP($A94,'Wikia | Gehege'!$A:$AL,18,FALSE),VLOOKUP($A94,'Wikia | Gehege'!$A:$AL,18,FALSE)+VLOOKUP($A94,'Wikia | Gehege'!$A:$AL,26,FALSE)*($G94)-1*$G94),0)</f>
        <v>0</v>
      </c>
      <c r="L94" s="36">
        <f>IFERROR(IF(VLOOKUP($A94,'Wikia | Gehege'!$A:$AL,26,FALSE)=1,VLOOKUP($A94,'Wikia | Gehege'!$A:$AL,19,FALSE),VLOOKUP($A94,'Wikia | Gehege'!$A:$AL,19,FALSE)+VLOOKUP($A94,'Wikia | Gehege'!$A:$AL,26,FALSE)*($H94)-1*$H94),0)</f>
        <v>0</v>
      </c>
      <c r="M94" s="37">
        <f>IFERROR(IF(VLOOKUP($A94,'Wikia | Gehege'!$A:$AL,26,FALSE)=1,VLOOKUP($A94,'Wikia | Gehege'!$A:$AL,20,FALSE),VLOOKUP($A94,'Wikia | Gehege'!$A:$AL,20,FALSE)+VLOOKUP($A94,'Wikia | Gehege'!$A:$AL,26,FALSE)*($I94)-1*$I94),0)</f>
        <v>0</v>
      </c>
      <c r="N94" s="35">
        <f>IFERROR(IF(VLOOKUP($A94,'Wikia | Gehege'!$A:$AL,27,FALSE)=1,VLOOKUP($A94,'Wikia | Gehege'!$A:$AL,17,FALSE),VLOOKUP($A94,'Wikia | Gehege'!$A:$AL,17,FALSE)+VLOOKUP($A94,'Wikia | Gehege'!$A:$AL,27,FALSE)*($F94)-1*$F94),0)</f>
        <v>245</v>
      </c>
      <c r="O94" s="36">
        <f>IFERROR(IF(VLOOKUP($A94,'Wikia | Gehege'!$A:$AL,27,FALSE)=1,VLOOKUP($A94,'Wikia | Gehege'!$A:$AL,18,FALSE),VLOOKUP($A94,'Wikia | Gehege'!$A:$AL,18,FALSE)+VLOOKUP($A94,'Wikia | Gehege'!$A:$AL,27,FALSE)*($G94)-1*$G94),0)</f>
        <v>0</v>
      </c>
      <c r="P94" s="36">
        <f>IFERROR(IF(VLOOKUP($A94,'Wikia | Gehege'!$A:$AL,27,FALSE)=1,VLOOKUP($A94,'Wikia | Gehege'!$A:$AL,19,FALSE),VLOOKUP($A94,'Wikia | Gehege'!$A:$AL,19,FALSE)+VLOOKUP($A94,'Wikia | Gehege'!$A:$AL,27,FALSE)*($H94)-1*$H94),0)</f>
        <v>0</v>
      </c>
      <c r="Q94" s="37">
        <f>IFERROR(IF(VLOOKUP($A94,'Wikia | Gehege'!$A:$AL,27,FALSE)=1,VLOOKUP($A94,'Wikia | Gehege'!$A:$AL,20,FALSE),VLOOKUP($A94,'Wikia | Gehege'!$A:$AL,20,FALSE)+VLOOKUP($A94,'Wikia | Gehege'!$A:$AL,27,FALSE)*($I94)-1*$I94),0)</f>
        <v>0</v>
      </c>
      <c r="R94" s="87"/>
      <c r="S94" s="94"/>
      <c r="T94" s="38">
        <f>IFERROR(VLOOKUP($A94,'Wikia | Gehege'!$A:$AL,17,FALSE)+(($S94-1)*$F94),0)</f>
        <v>155</v>
      </c>
      <c r="U94" s="38">
        <f>IFERROR(VLOOKUP($A94,'Wikia | Gehege'!$A:$AL,18,FALSE)+(($S94-1)*$G94),0)</f>
        <v>0</v>
      </c>
      <c r="V94" s="38">
        <f>IFERROR(VLOOKUP($A94,'Wikia | Gehege'!$A:$AL,19,FALSE)+(($S94-1)*$H94),0)</f>
        <v>0</v>
      </c>
      <c r="W94" s="85">
        <f>IFERROR(VLOOKUP($A94,'Wikia | Gehege'!$A:$AL,20,FALSE)+(($S94-1)*$I94),0)</f>
        <v>0</v>
      </c>
      <c r="X94" s="87"/>
    </row>
    <row r="95" spans="1:24" ht="35.1" customHeight="1" x14ac:dyDescent="0.2">
      <c r="A95" s="140" t="str">
        <f>'Wikia | Gehege'!A95</f>
        <v xml:space="preserve">Panzernashorn </v>
      </c>
      <c r="B95" s="35">
        <v>1250</v>
      </c>
      <c r="C95" s="36">
        <v>0</v>
      </c>
      <c r="D95" s="36">
        <v>56</v>
      </c>
      <c r="E95" s="37">
        <v>0</v>
      </c>
      <c r="F95" s="35">
        <f>IFERROR(B95-VLOOKUP($A95,'Wikia | Gehege'!$A:$AL,17,FALSE),0)</f>
        <v>250</v>
      </c>
      <c r="G95" s="36">
        <f>IFERROR(C95-VLOOKUP($A95,'Wikia | Gehege'!$A:$AL,18,FALSE),0)</f>
        <v>0</v>
      </c>
      <c r="H95" s="36">
        <f>IFERROR(D95-VLOOKUP($A95,'Wikia | Gehege'!$A:$AL,19,FALSE),0)</f>
        <v>19</v>
      </c>
      <c r="I95" s="37">
        <f>IFERROR(E95-VLOOKUP($A95,'Wikia | Gehege'!$A:$AL,20,FALSE),0)</f>
        <v>0</v>
      </c>
      <c r="J95" s="35">
        <f>IFERROR(IF(VLOOKUP($A95,'Wikia | Gehege'!$A:$AL,26,FALSE)=1,VLOOKUP($A95,'Wikia | Gehege'!$A:$AL,17,FALSE),VLOOKUP($A95,'Wikia | Gehege'!$A:$AL,17,FALSE)+VLOOKUP($A95,'Wikia | Gehege'!$A:$AL,26,FALSE)*($F95)-1*$F95),0)</f>
        <v>1000</v>
      </c>
      <c r="K95" s="36">
        <f>IFERROR(IF(VLOOKUP($A95,'Wikia | Gehege'!$A:$AL,26,FALSE)=1,VLOOKUP($A95,'Wikia | Gehege'!$A:$AL,18,FALSE),VLOOKUP($A95,'Wikia | Gehege'!$A:$AL,18,FALSE)+VLOOKUP($A95,'Wikia | Gehege'!$A:$AL,26,FALSE)*($G95)-1*$G95),0)</f>
        <v>0</v>
      </c>
      <c r="L95" s="36">
        <f>IFERROR(IF(VLOOKUP($A95,'Wikia | Gehege'!$A:$AL,26,FALSE)=1,VLOOKUP($A95,'Wikia | Gehege'!$A:$AL,19,FALSE),VLOOKUP($A95,'Wikia | Gehege'!$A:$AL,19,FALSE)+VLOOKUP($A95,'Wikia | Gehege'!$A:$AL,26,FALSE)*($H95)-1*$H95),0)</f>
        <v>37</v>
      </c>
      <c r="M95" s="37">
        <f>IFERROR(IF(VLOOKUP($A95,'Wikia | Gehege'!$A:$AL,26,FALSE)=1,VLOOKUP($A95,'Wikia | Gehege'!$A:$AL,20,FALSE),VLOOKUP($A95,'Wikia | Gehege'!$A:$AL,20,FALSE)+VLOOKUP($A95,'Wikia | Gehege'!$A:$AL,26,FALSE)*($I95)-1*$I95),0)</f>
        <v>0</v>
      </c>
      <c r="N95" s="35">
        <f>IFERROR(IF(VLOOKUP($A95,'Wikia | Gehege'!$A:$AL,27,FALSE)=1,VLOOKUP($A95,'Wikia | Gehege'!$A:$AL,17,FALSE),VLOOKUP($A95,'Wikia | Gehege'!$A:$AL,17,FALSE)+VLOOKUP($A95,'Wikia | Gehege'!$A:$AL,27,FALSE)*($F95)-1*$F95),0)</f>
        <v>1250</v>
      </c>
      <c r="O95" s="36">
        <f>IFERROR(IF(VLOOKUP($A95,'Wikia | Gehege'!$A:$AL,27,FALSE)=1,VLOOKUP($A95,'Wikia | Gehege'!$A:$AL,18,FALSE),VLOOKUP($A95,'Wikia | Gehege'!$A:$AL,18,FALSE)+VLOOKUP($A95,'Wikia | Gehege'!$A:$AL,27,FALSE)*($G95)-1*$G95),0)</f>
        <v>0</v>
      </c>
      <c r="P95" s="36">
        <f>IFERROR(IF(VLOOKUP($A95,'Wikia | Gehege'!$A:$AL,27,FALSE)=1,VLOOKUP($A95,'Wikia | Gehege'!$A:$AL,19,FALSE),VLOOKUP($A95,'Wikia | Gehege'!$A:$AL,19,FALSE)+VLOOKUP($A95,'Wikia | Gehege'!$A:$AL,27,FALSE)*($H95)-1*$H95),0)</f>
        <v>56</v>
      </c>
      <c r="Q95" s="37">
        <f>IFERROR(IF(VLOOKUP($A95,'Wikia | Gehege'!$A:$AL,27,FALSE)=1,VLOOKUP($A95,'Wikia | Gehege'!$A:$AL,20,FALSE),VLOOKUP($A95,'Wikia | Gehege'!$A:$AL,20,FALSE)+VLOOKUP($A95,'Wikia | Gehege'!$A:$AL,27,FALSE)*($I95)-1*$I95),0)</f>
        <v>0</v>
      </c>
      <c r="R95" s="87"/>
      <c r="S95" s="94"/>
      <c r="T95" s="38">
        <f>IFERROR(VLOOKUP($A95,'Wikia | Gehege'!$A:$AL,17,FALSE)+(($S95-1)*$F95),0)</f>
        <v>750</v>
      </c>
      <c r="U95" s="38">
        <f>IFERROR(VLOOKUP($A95,'Wikia | Gehege'!$A:$AL,18,FALSE)+(($S95-1)*$G95),0)</f>
        <v>0</v>
      </c>
      <c r="V95" s="38">
        <f>IFERROR(VLOOKUP($A95,'Wikia | Gehege'!$A:$AL,19,FALSE)+(($S95-1)*$H95),0)</f>
        <v>18</v>
      </c>
      <c r="W95" s="85">
        <f>IFERROR(VLOOKUP($A95,'Wikia | Gehege'!$A:$AL,20,FALSE)+(($S95-1)*$I95),0)</f>
        <v>0</v>
      </c>
      <c r="X95" s="87"/>
    </row>
    <row r="96" spans="1:24" ht="35.1" customHeight="1" x14ac:dyDescent="0.2">
      <c r="A96" s="140" t="str">
        <f>'Wikia | Gehege'!A96</f>
        <v>Pinselohrschwein</v>
      </c>
      <c r="B96" s="35">
        <v>307</v>
      </c>
      <c r="C96" s="36">
        <v>0</v>
      </c>
      <c r="D96" s="36">
        <v>0</v>
      </c>
      <c r="E96" s="37">
        <v>0</v>
      </c>
      <c r="F96" s="35">
        <f>IFERROR(B96-VLOOKUP($A96,'Wikia | Gehege'!$A:$AL,17,FALSE),0)</f>
        <v>7</v>
      </c>
      <c r="G96" s="36">
        <f>IFERROR(C96-VLOOKUP($A96,'Wikia | Gehege'!$A:$AL,18,FALSE),0)</f>
        <v>0</v>
      </c>
      <c r="H96" s="36">
        <f>IFERROR(D96-VLOOKUP($A96,'Wikia | Gehege'!$A:$AL,19,FALSE),0)</f>
        <v>0</v>
      </c>
      <c r="I96" s="37">
        <f>IFERROR(E96-VLOOKUP($A96,'Wikia | Gehege'!$A:$AL,20,FALSE),0)</f>
        <v>0</v>
      </c>
      <c r="J96" s="35">
        <f>IFERROR(IF(VLOOKUP($A96,'Wikia | Gehege'!$A:$AL,26,FALSE)=1,VLOOKUP($A96,'Wikia | Gehege'!$A:$AL,17,FALSE),VLOOKUP($A96,'Wikia | Gehege'!$A:$AL,17,FALSE)+VLOOKUP($A96,'Wikia | Gehege'!$A:$AL,26,FALSE)*($F96)-1*$F96),0)</f>
        <v>307</v>
      </c>
      <c r="K96" s="36">
        <f>IFERROR(IF(VLOOKUP($A96,'Wikia | Gehege'!$A:$AL,26,FALSE)=1,VLOOKUP($A96,'Wikia | Gehege'!$A:$AL,18,FALSE),VLOOKUP($A96,'Wikia | Gehege'!$A:$AL,18,FALSE)+VLOOKUP($A96,'Wikia | Gehege'!$A:$AL,26,FALSE)*($G96)-1*$G96),0)</f>
        <v>0</v>
      </c>
      <c r="L96" s="36">
        <f>IFERROR(IF(VLOOKUP($A96,'Wikia | Gehege'!$A:$AL,26,FALSE)=1,VLOOKUP($A96,'Wikia | Gehege'!$A:$AL,19,FALSE),VLOOKUP($A96,'Wikia | Gehege'!$A:$AL,19,FALSE)+VLOOKUP($A96,'Wikia | Gehege'!$A:$AL,26,FALSE)*($H96)-1*$H96),0)</f>
        <v>0</v>
      </c>
      <c r="M96" s="37">
        <f>IFERROR(IF(VLOOKUP($A96,'Wikia | Gehege'!$A:$AL,26,FALSE)=1,VLOOKUP($A96,'Wikia | Gehege'!$A:$AL,20,FALSE),VLOOKUP($A96,'Wikia | Gehege'!$A:$AL,20,FALSE)+VLOOKUP($A96,'Wikia | Gehege'!$A:$AL,26,FALSE)*($I96)-1*$I96),0)</f>
        <v>0</v>
      </c>
      <c r="N96" s="35">
        <f>IFERROR(IF(VLOOKUP($A96,'Wikia | Gehege'!$A:$AL,27,FALSE)=1,VLOOKUP($A96,'Wikia | Gehege'!$A:$AL,17,FALSE),VLOOKUP($A96,'Wikia | Gehege'!$A:$AL,17,FALSE)+VLOOKUP($A96,'Wikia | Gehege'!$A:$AL,27,FALSE)*($F96)-1*$F96),0)</f>
        <v>363</v>
      </c>
      <c r="O96" s="36">
        <f>IFERROR(IF(VLOOKUP($A96,'Wikia | Gehege'!$A:$AL,27,FALSE)=1,VLOOKUP($A96,'Wikia | Gehege'!$A:$AL,18,FALSE),VLOOKUP($A96,'Wikia | Gehege'!$A:$AL,18,FALSE)+VLOOKUP($A96,'Wikia | Gehege'!$A:$AL,27,FALSE)*($G96)-1*$G96),0)</f>
        <v>0</v>
      </c>
      <c r="P96" s="36">
        <f>IFERROR(IF(VLOOKUP($A96,'Wikia | Gehege'!$A:$AL,27,FALSE)=1,VLOOKUP($A96,'Wikia | Gehege'!$A:$AL,19,FALSE),VLOOKUP($A96,'Wikia | Gehege'!$A:$AL,19,FALSE)+VLOOKUP($A96,'Wikia | Gehege'!$A:$AL,27,FALSE)*($H96)-1*$H96),0)</f>
        <v>0</v>
      </c>
      <c r="Q96" s="37">
        <f>IFERROR(IF(VLOOKUP($A96,'Wikia | Gehege'!$A:$AL,27,FALSE)=1,VLOOKUP($A96,'Wikia | Gehege'!$A:$AL,20,FALSE),VLOOKUP($A96,'Wikia | Gehege'!$A:$AL,20,FALSE)+VLOOKUP($A96,'Wikia | Gehege'!$A:$AL,27,FALSE)*($I96)-1*$I96),0)</f>
        <v>0</v>
      </c>
      <c r="R96" s="87"/>
      <c r="S96" s="94"/>
      <c r="T96" s="38">
        <f>IFERROR(VLOOKUP($A96,'Wikia | Gehege'!$A:$AL,17,FALSE)+(($S96-1)*$F96),0)</f>
        <v>293</v>
      </c>
      <c r="U96" s="38">
        <f>IFERROR(VLOOKUP($A96,'Wikia | Gehege'!$A:$AL,18,FALSE)+(($S96-1)*$G96),0)</f>
        <v>0</v>
      </c>
      <c r="V96" s="38">
        <f>IFERROR(VLOOKUP($A96,'Wikia | Gehege'!$A:$AL,19,FALSE)+(($S96-1)*$H96),0)</f>
        <v>0</v>
      </c>
      <c r="W96" s="85">
        <f>IFERROR(VLOOKUP($A96,'Wikia | Gehege'!$A:$AL,20,FALSE)+(($S96-1)*$I96),0)</f>
        <v>0</v>
      </c>
      <c r="X96" s="87"/>
    </row>
    <row r="97" spans="1:24" ht="35.1" customHeight="1" x14ac:dyDescent="0.2">
      <c r="A97" s="140" t="str">
        <f>'Wikia | Gehege'!A97</f>
        <v>Polarfuchs</v>
      </c>
      <c r="B97" s="35">
        <v>232</v>
      </c>
      <c r="C97" s="36">
        <v>0</v>
      </c>
      <c r="D97" s="36">
        <v>0</v>
      </c>
      <c r="E97" s="37">
        <v>0</v>
      </c>
      <c r="F97" s="35">
        <f>IFERROR(B97-VLOOKUP($A97,'Wikia | Gehege'!$A:$AL,17,FALSE),0)</f>
        <v>32</v>
      </c>
      <c r="G97" s="36">
        <f>IFERROR(C97-VLOOKUP($A97,'Wikia | Gehege'!$A:$AL,18,FALSE),0)</f>
        <v>0</v>
      </c>
      <c r="H97" s="36">
        <f>IFERROR(D97-VLOOKUP($A97,'Wikia | Gehege'!$A:$AL,19,FALSE),0)</f>
        <v>0</v>
      </c>
      <c r="I97" s="37">
        <f>IFERROR(E97-VLOOKUP($A97,'Wikia | Gehege'!$A:$AL,20,FALSE),0)</f>
        <v>0</v>
      </c>
      <c r="J97" s="35">
        <f>IFERROR(IF(VLOOKUP($A97,'Wikia | Gehege'!$A:$AL,26,FALSE)=1,VLOOKUP($A97,'Wikia | Gehege'!$A:$AL,17,FALSE),VLOOKUP($A97,'Wikia | Gehege'!$A:$AL,17,FALSE)+VLOOKUP($A97,'Wikia | Gehege'!$A:$AL,26,FALSE)*($F97)-1*$F97),0)</f>
        <v>200</v>
      </c>
      <c r="K97" s="36">
        <f>IFERROR(IF(VLOOKUP($A97,'Wikia | Gehege'!$A:$AL,26,FALSE)=1,VLOOKUP($A97,'Wikia | Gehege'!$A:$AL,18,FALSE),VLOOKUP($A97,'Wikia | Gehege'!$A:$AL,18,FALSE)+VLOOKUP($A97,'Wikia | Gehege'!$A:$AL,26,FALSE)*($G97)-1*$G97),0)</f>
        <v>0</v>
      </c>
      <c r="L97" s="36">
        <f>IFERROR(IF(VLOOKUP($A97,'Wikia | Gehege'!$A:$AL,26,FALSE)=1,VLOOKUP($A97,'Wikia | Gehege'!$A:$AL,19,FALSE),VLOOKUP($A97,'Wikia | Gehege'!$A:$AL,19,FALSE)+VLOOKUP($A97,'Wikia | Gehege'!$A:$AL,26,FALSE)*($H97)-1*$H97),0)</f>
        <v>0</v>
      </c>
      <c r="M97" s="37">
        <f>IFERROR(IF(VLOOKUP($A97,'Wikia | Gehege'!$A:$AL,26,FALSE)=1,VLOOKUP($A97,'Wikia | Gehege'!$A:$AL,20,FALSE),VLOOKUP($A97,'Wikia | Gehege'!$A:$AL,20,FALSE)+VLOOKUP($A97,'Wikia | Gehege'!$A:$AL,26,FALSE)*($I97)-1*$I97),0)</f>
        <v>0</v>
      </c>
      <c r="N97" s="35">
        <f>IFERROR(IF(VLOOKUP($A97,'Wikia | Gehege'!$A:$AL,27,FALSE)=1,VLOOKUP($A97,'Wikia | Gehege'!$A:$AL,17,FALSE),VLOOKUP($A97,'Wikia | Gehege'!$A:$AL,17,FALSE)+VLOOKUP($A97,'Wikia | Gehege'!$A:$AL,27,FALSE)*($F97)-1*$F97),0)</f>
        <v>424</v>
      </c>
      <c r="O97" s="36">
        <f>IFERROR(IF(VLOOKUP($A97,'Wikia | Gehege'!$A:$AL,27,FALSE)=1,VLOOKUP($A97,'Wikia | Gehege'!$A:$AL,18,FALSE),VLOOKUP($A97,'Wikia | Gehege'!$A:$AL,18,FALSE)+VLOOKUP($A97,'Wikia | Gehege'!$A:$AL,27,FALSE)*($G97)-1*$G97),0)</f>
        <v>0</v>
      </c>
      <c r="P97" s="36">
        <f>IFERROR(IF(VLOOKUP($A97,'Wikia | Gehege'!$A:$AL,27,FALSE)=1,VLOOKUP($A97,'Wikia | Gehege'!$A:$AL,19,FALSE),VLOOKUP($A97,'Wikia | Gehege'!$A:$AL,19,FALSE)+VLOOKUP($A97,'Wikia | Gehege'!$A:$AL,27,FALSE)*($H97)-1*$H97),0)</f>
        <v>0</v>
      </c>
      <c r="Q97" s="37">
        <f>IFERROR(IF(VLOOKUP($A97,'Wikia | Gehege'!$A:$AL,27,FALSE)=1,VLOOKUP($A97,'Wikia | Gehege'!$A:$AL,20,FALSE),VLOOKUP($A97,'Wikia | Gehege'!$A:$AL,20,FALSE)+VLOOKUP($A97,'Wikia | Gehege'!$A:$AL,27,FALSE)*($I97)-1*$I97),0)</f>
        <v>0</v>
      </c>
      <c r="R97" s="87"/>
      <c r="S97" s="94"/>
      <c r="T97" s="38">
        <f>IFERROR(VLOOKUP($A97,'Wikia | Gehege'!$A:$AL,17,FALSE)+(($S97-1)*$F97),0)</f>
        <v>168</v>
      </c>
      <c r="U97" s="38">
        <f>IFERROR(VLOOKUP($A97,'Wikia | Gehege'!$A:$AL,18,FALSE)+(($S97-1)*$G97),0)</f>
        <v>0</v>
      </c>
      <c r="V97" s="38">
        <f>IFERROR(VLOOKUP($A97,'Wikia | Gehege'!$A:$AL,19,FALSE)+(($S97-1)*$H97),0)</f>
        <v>0</v>
      </c>
      <c r="W97" s="85">
        <f>IFERROR(VLOOKUP($A97,'Wikia | Gehege'!$A:$AL,20,FALSE)+(($S97-1)*$I97),0)</f>
        <v>0</v>
      </c>
      <c r="X97" s="87"/>
    </row>
    <row r="98" spans="1:24" ht="35.1" customHeight="1" x14ac:dyDescent="0.2">
      <c r="A98" s="140" t="str">
        <f>'Wikia | Gehege'!A98</f>
        <v>Polarwolf</v>
      </c>
      <c r="B98" s="35">
        <v>1254</v>
      </c>
      <c r="C98" s="36">
        <v>0</v>
      </c>
      <c r="D98" s="36">
        <v>0</v>
      </c>
      <c r="E98" s="37">
        <v>0</v>
      </c>
      <c r="F98" s="35">
        <f>IFERROR(B98-VLOOKUP($A98,'Wikia | Gehege'!$A:$AL,17,FALSE),0)</f>
        <v>92</v>
      </c>
      <c r="G98" s="36">
        <f>IFERROR(C98-VLOOKUP($A98,'Wikia | Gehege'!$A:$AL,18,FALSE),0)</f>
        <v>0</v>
      </c>
      <c r="H98" s="36">
        <f>IFERROR(D98-VLOOKUP($A98,'Wikia | Gehege'!$A:$AL,19,FALSE),0)</f>
        <v>0</v>
      </c>
      <c r="I98" s="37">
        <f>IFERROR(E98-VLOOKUP($A98,'Wikia | Gehege'!$A:$AL,20,FALSE),0)</f>
        <v>0</v>
      </c>
      <c r="J98" s="35">
        <f>IFERROR(IF(VLOOKUP($A98,'Wikia | Gehege'!$A:$AL,26,FALSE)=1,VLOOKUP($A98,'Wikia | Gehege'!$A:$AL,17,FALSE),VLOOKUP($A98,'Wikia | Gehege'!$A:$AL,17,FALSE)+VLOOKUP($A98,'Wikia | Gehege'!$A:$AL,26,FALSE)*($F98)-1*$F98),0)</f>
        <v>1254</v>
      </c>
      <c r="K98" s="36">
        <f>IFERROR(IF(VLOOKUP($A98,'Wikia | Gehege'!$A:$AL,26,FALSE)=1,VLOOKUP($A98,'Wikia | Gehege'!$A:$AL,18,FALSE),VLOOKUP($A98,'Wikia | Gehege'!$A:$AL,18,FALSE)+VLOOKUP($A98,'Wikia | Gehege'!$A:$AL,26,FALSE)*($G98)-1*$G98),0)</f>
        <v>0</v>
      </c>
      <c r="L98" s="36">
        <f>IFERROR(IF(VLOOKUP($A98,'Wikia | Gehege'!$A:$AL,26,FALSE)=1,VLOOKUP($A98,'Wikia | Gehege'!$A:$AL,19,FALSE),VLOOKUP($A98,'Wikia | Gehege'!$A:$AL,19,FALSE)+VLOOKUP($A98,'Wikia | Gehege'!$A:$AL,26,FALSE)*($H98)-1*$H98),0)</f>
        <v>0</v>
      </c>
      <c r="M98" s="37">
        <f>IFERROR(IF(VLOOKUP($A98,'Wikia | Gehege'!$A:$AL,26,FALSE)=1,VLOOKUP($A98,'Wikia | Gehege'!$A:$AL,20,FALSE),VLOOKUP($A98,'Wikia | Gehege'!$A:$AL,20,FALSE)+VLOOKUP($A98,'Wikia | Gehege'!$A:$AL,26,FALSE)*($I98)-1*$I98),0)</f>
        <v>0</v>
      </c>
      <c r="N98" s="35">
        <f>IFERROR(IF(VLOOKUP($A98,'Wikia | Gehege'!$A:$AL,27,FALSE)=1,VLOOKUP($A98,'Wikia | Gehege'!$A:$AL,17,FALSE),VLOOKUP($A98,'Wikia | Gehege'!$A:$AL,17,FALSE)+VLOOKUP($A98,'Wikia | Gehege'!$A:$AL,27,FALSE)*($F98)-1*$F98),0)</f>
        <v>1806</v>
      </c>
      <c r="O98" s="36">
        <f>IFERROR(IF(VLOOKUP($A98,'Wikia | Gehege'!$A:$AL,27,FALSE)=1,VLOOKUP($A98,'Wikia | Gehege'!$A:$AL,18,FALSE),VLOOKUP($A98,'Wikia | Gehege'!$A:$AL,18,FALSE)+VLOOKUP($A98,'Wikia | Gehege'!$A:$AL,27,FALSE)*($G98)-1*$G98),0)</f>
        <v>0</v>
      </c>
      <c r="P98" s="36">
        <f>IFERROR(IF(VLOOKUP($A98,'Wikia | Gehege'!$A:$AL,27,FALSE)=1,VLOOKUP($A98,'Wikia | Gehege'!$A:$AL,19,FALSE),VLOOKUP($A98,'Wikia | Gehege'!$A:$AL,19,FALSE)+VLOOKUP($A98,'Wikia | Gehege'!$A:$AL,27,FALSE)*($H98)-1*$H98),0)</f>
        <v>0</v>
      </c>
      <c r="Q98" s="37">
        <f>IFERROR(IF(VLOOKUP($A98,'Wikia | Gehege'!$A:$AL,27,FALSE)=1,VLOOKUP($A98,'Wikia | Gehege'!$A:$AL,20,FALSE),VLOOKUP($A98,'Wikia | Gehege'!$A:$AL,20,FALSE)+VLOOKUP($A98,'Wikia | Gehege'!$A:$AL,27,FALSE)*($I98)-1*$I98),0)</f>
        <v>0</v>
      </c>
      <c r="R98" s="87"/>
      <c r="S98" s="94"/>
      <c r="T98" s="38">
        <f>IFERROR(VLOOKUP($A98,'Wikia | Gehege'!$A:$AL,17,FALSE)+(($S98-1)*$F98),0)</f>
        <v>1070</v>
      </c>
      <c r="U98" s="38">
        <f>IFERROR(VLOOKUP($A98,'Wikia | Gehege'!$A:$AL,18,FALSE)+(($S98-1)*$G98),0)</f>
        <v>0</v>
      </c>
      <c r="V98" s="38">
        <f>IFERROR(VLOOKUP($A98,'Wikia | Gehege'!$A:$AL,19,FALSE)+(($S98-1)*$H98),0)</f>
        <v>0</v>
      </c>
      <c r="W98" s="85">
        <f>IFERROR(VLOOKUP($A98,'Wikia | Gehege'!$A:$AL,20,FALSE)+(($S98-1)*$I98),0)</f>
        <v>0</v>
      </c>
      <c r="X98" s="87"/>
    </row>
    <row r="99" spans="1:24" ht="35.1" customHeight="1" x14ac:dyDescent="0.2">
      <c r="A99" s="140" t="str">
        <f>'Wikia | Gehege'!A99</f>
        <v>Przewalski-Pferd</v>
      </c>
      <c r="B99" s="35">
        <v>747</v>
      </c>
      <c r="C99" s="36">
        <v>0</v>
      </c>
      <c r="D99" s="36">
        <v>0</v>
      </c>
      <c r="E99" s="37">
        <v>0</v>
      </c>
      <c r="F99" s="35">
        <f>IFERROR(B99-VLOOKUP($A99,'Wikia | Gehege'!$A:$AL,17,FALSE),0)</f>
        <v>172</v>
      </c>
      <c r="G99" s="36">
        <f>IFERROR(C99-VLOOKUP($A99,'Wikia | Gehege'!$A:$AL,18,FALSE),0)</f>
        <v>0</v>
      </c>
      <c r="H99" s="36">
        <f>IFERROR(D99-VLOOKUP($A99,'Wikia | Gehege'!$A:$AL,19,FALSE),0)</f>
        <v>0</v>
      </c>
      <c r="I99" s="37">
        <f>IFERROR(E99-VLOOKUP($A99,'Wikia | Gehege'!$A:$AL,20,FALSE),0)</f>
        <v>0</v>
      </c>
      <c r="J99" s="35">
        <f>IFERROR(IF(VLOOKUP($A99,'Wikia | Gehege'!$A:$AL,26,FALSE)=1,VLOOKUP($A99,'Wikia | Gehege'!$A:$AL,17,FALSE),VLOOKUP($A99,'Wikia | Gehege'!$A:$AL,17,FALSE)+VLOOKUP($A99,'Wikia | Gehege'!$A:$AL,26,FALSE)*($F99)-1*$F99),0)</f>
        <v>919</v>
      </c>
      <c r="K99" s="36">
        <f>IFERROR(IF(VLOOKUP($A99,'Wikia | Gehege'!$A:$AL,26,FALSE)=1,VLOOKUP($A99,'Wikia | Gehege'!$A:$AL,18,FALSE),VLOOKUP($A99,'Wikia | Gehege'!$A:$AL,18,FALSE)+VLOOKUP($A99,'Wikia | Gehege'!$A:$AL,26,FALSE)*($G99)-1*$G99),0)</f>
        <v>0</v>
      </c>
      <c r="L99" s="36">
        <f>IFERROR(IF(VLOOKUP($A99,'Wikia | Gehege'!$A:$AL,26,FALSE)=1,VLOOKUP($A99,'Wikia | Gehege'!$A:$AL,19,FALSE),VLOOKUP($A99,'Wikia | Gehege'!$A:$AL,19,FALSE)+VLOOKUP($A99,'Wikia | Gehege'!$A:$AL,26,FALSE)*($H99)-1*$H99),0)</f>
        <v>0</v>
      </c>
      <c r="M99" s="37">
        <f>IFERROR(IF(VLOOKUP($A99,'Wikia | Gehege'!$A:$AL,26,FALSE)=1,VLOOKUP($A99,'Wikia | Gehege'!$A:$AL,20,FALSE),VLOOKUP($A99,'Wikia | Gehege'!$A:$AL,20,FALSE)+VLOOKUP($A99,'Wikia | Gehege'!$A:$AL,26,FALSE)*($I99)-1*$I99),0)</f>
        <v>0</v>
      </c>
      <c r="N99" s="35">
        <f>IFERROR(IF(VLOOKUP($A99,'Wikia | Gehege'!$A:$AL,27,FALSE)=1,VLOOKUP($A99,'Wikia | Gehege'!$A:$AL,17,FALSE),VLOOKUP($A99,'Wikia | Gehege'!$A:$AL,17,FALSE)+VLOOKUP($A99,'Wikia | Gehege'!$A:$AL,27,FALSE)*($F99)-1*$F99),0)</f>
        <v>1779</v>
      </c>
      <c r="O99" s="36">
        <f>IFERROR(IF(VLOOKUP($A99,'Wikia | Gehege'!$A:$AL,27,FALSE)=1,VLOOKUP($A99,'Wikia | Gehege'!$A:$AL,18,FALSE),VLOOKUP($A99,'Wikia | Gehege'!$A:$AL,18,FALSE)+VLOOKUP($A99,'Wikia | Gehege'!$A:$AL,27,FALSE)*($G99)-1*$G99),0)</f>
        <v>0</v>
      </c>
      <c r="P99" s="36">
        <f>IFERROR(IF(VLOOKUP($A99,'Wikia | Gehege'!$A:$AL,27,FALSE)=1,VLOOKUP($A99,'Wikia | Gehege'!$A:$AL,19,FALSE),VLOOKUP($A99,'Wikia | Gehege'!$A:$AL,19,FALSE)+VLOOKUP($A99,'Wikia | Gehege'!$A:$AL,27,FALSE)*($H99)-1*$H99),0)</f>
        <v>0</v>
      </c>
      <c r="Q99" s="37">
        <f>IFERROR(IF(VLOOKUP($A99,'Wikia | Gehege'!$A:$AL,27,FALSE)=1,VLOOKUP($A99,'Wikia | Gehege'!$A:$AL,20,FALSE),VLOOKUP($A99,'Wikia | Gehege'!$A:$AL,20,FALSE)+VLOOKUP($A99,'Wikia | Gehege'!$A:$AL,27,FALSE)*($I99)-1*$I99),0)</f>
        <v>0</v>
      </c>
      <c r="R99" s="87">
        <v>0</v>
      </c>
      <c r="S99" s="94"/>
      <c r="T99" s="38">
        <f>IFERROR(VLOOKUP($A99,'Wikia | Gehege'!$A:$AL,17,FALSE)+(($S99-1)*$F99),0)</f>
        <v>403</v>
      </c>
      <c r="U99" s="38">
        <f>IFERROR(VLOOKUP($A99,'Wikia | Gehege'!$A:$AL,18,FALSE)+(($S99-1)*$G99),0)</f>
        <v>0</v>
      </c>
      <c r="V99" s="38">
        <f>IFERROR(VLOOKUP($A99,'Wikia | Gehege'!$A:$AL,19,FALSE)+(($S99-1)*$H99),0)</f>
        <v>0</v>
      </c>
      <c r="W99" s="85">
        <f>IFERROR(VLOOKUP($A99,'Wikia | Gehege'!$A:$AL,20,FALSE)+(($S99-1)*$I99),0)</f>
        <v>0</v>
      </c>
      <c r="X99" s="87"/>
    </row>
    <row r="100" spans="1:24" ht="35.1" customHeight="1" x14ac:dyDescent="0.2">
      <c r="A100" s="140" t="str">
        <f>'Wikia | Gehege'!A100</f>
        <v>Puma</v>
      </c>
      <c r="B100" s="35">
        <v>816</v>
      </c>
      <c r="C100" s="36">
        <v>0</v>
      </c>
      <c r="D100" s="36">
        <v>0</v>
      </c>
      <c r="E100" s="37">
        <v>0</v>
      </c>
      <c r="F100" s="35">
        <f>IFERROR(B100-VLOOKUP($A100,'Wikia | Gehege'!$A:$AL,17,FALSE),0)</f>
        <v>111</v>
      </c>
      <c r="G100" s="36">
        <f>IFERROR(C100-VLOOKUP($A100,'Wikia | Gehege'!$A:$AL,18,FALSE),0)</f>
        <v>0</v>
      </c>
      <c r="H100" s="36">
        <f>IFERROR(D100-VLOOKUP($A100,'Wikia | Gehege'!$A:$AL,19,FALSE),0)</f>
        <v>0</v>
      </c>
      <c r="I100" s="37">
        <f>IFERROR(E100-VLOOKUP($A100,'Wikia | Gehege'!$A:$AL,20,FALSE),0)</f>
        <v>0</v>
      </c>
      <c r="J100" s="35">
        <f>IFERROR(IF(VLOOKUP($A100,'Wikia | Gehege'!$A:$AL,26,FALSE)=1,VLOOKUP($A100,'Wikia | Gehege'!$A:$AL,17,FALSE),VLOOKUP($A100,'Wikia | Gehege'!$A:$AL,17,FALSE)+VLOOKUP($A100,'Wikia | Gehege'!$A:$AL,26,FALSE)*($F100)-1*$F100),0)</f>
        <v>705</v>
      </c>
      <c r="K100" s="36">
        <f>IFERROR(IF(VLOOKUP($A100,'Wikia | Gehege'!$A:$AL,26,FALSE)=1,VLOOKUP($A100,'Wikia | Gehege'!$A:$AL,18,FALSE),VLOOKUP($A100,'Wikia | Gehege'!$A:$AL,18,FALSE)+VLOOKUP($A100,'Wikia | Gehege'!$A:$AL,26,FALSE)*($G100)-1*$G100),0)</f>
        <v>0</v>
      </c>
      <c r="L100" s="36">
        <f>IFERROR(IF(VLOOKUP($A100,'Wikia | Gehege'!$A:$AL,26,FALSE)=1,VLOOKUP($A100,'Wikia | Gehege'!$A:$AL,19,FALSE),VLOOKUP($A100,'Wikia | Gehege'!$A:$AL,19,FALSE)+VLOOKUP($A100,'Wikia | Gehege'!$A:$AL,26,FALSE)*($H100)-1*$H100),0)</f>
        <v>0</v>
      </c>
      <c r="M100" s="37">
        <f>IFERROR(IF(VLOOKUP($A100,'Wikia | Gehege'!$A:$AL,26,FALSE)=1,VLOOKUP($A100,'Wikia | Gehege'!$A:$AL,20,FALSE),VLOOKUP($A100,'Wikia | Gehege'!$A:$AL,20,FALSE)+VLOOKUP($A100,'Wikia | Gehege'!$A:$AL,26,FALSE)*($I100)-1*$I100),0)</f>
        <v>0</v>
      </c>
      <c r="N100" s="35">
        <f>IFERROR(IF(VLOOKUP($A100,'Wikia | Gehege'!$A:$AL,27,FALSE)=1,VLOOKUP($A100,'Wikia | Gehege'!$A:$AL,17,FALSE),VLOOKUP($A100,'Wikia | Gehege'!$A:$AL,17,FALSE)+VLOOKUP($A100,'Wikia | Gehege'!$A:$AL,27,FALSE)*($F100)-1*$F100),0)</f>
        <v>816</v>
      </c>
      <c r="O100" s="36">
        <f>IFERROR(IF(VLOOKUP($A100,'Wikia | Gehege'!$A:$AL,27,FALSE)=1,VLOOKUP($A100,'Wikia | Gehege'!$A:$AL,18,FALSE),VLOOKUP($A100,'Wikia | Gehege'!$A:$AL,18,FALSE)+VLOOKUP($A100,'Wikia | Gehege'!$A:$AL,27,FALSE)*($G100)-1*$G100),0)</f>
        <v>0</v>
      </c>
      <c r="P100" s="36">
        <f>IFERROR(IF(VLOOKUP($A100,'Wikia | Gehege'!$A:$AL,27,FALSE)=1,VLOOKUP($A100,'Wikia | Gehege'!$A:$AL,19,FALSE),VLOOKUP($A100,'Wikia | Gehege'!$A:$AL,19,FALSE)+VLOOKUP($A100,'Wikia | Gehege'!$A:$AL,27,FALSE)*($H100)-1*$H100),0)</f>
        <v>0</v>
      </c>
      <c r="Q100" s="37">
        <f>IFERROR(IF(VLOOKUP($A100,'Wikia | Gehege'!$A:$AL,27,FALSE)=1,VLOOKUP($A100,'Wikia | Gehege'!$A:$AL,20,FALSE),VLOOKUP($A100,'Wikia | Gehege'!$A:$AL,20,FALSE)+VLOOKUP($A100,'Wikia | Gehege'!$A:$AL,27,FALSE)*($I100)-1*$I100),0)</f>
        <v>0</v>
      </c>
      <c r="R100" s="87"/>
      <c r="S100" s="94"/>
      <c r="T100" s="38">
        <f>IFERROR(VLOOKUP($A100,'Wikia | Gehege'!$A:$AL,17,FALSE)+(($S100-1)*$F100),0)</f>
        <v>594</v>
      </c>
      <c r="U100" s="38">
        <f>IFERROR(VLOOKUP($A100,'Wikia | Gehege'!$A:$AL,18,FALSE)+(($S100-1)*$G100),0)</f>
        <v>0</v>
      </c>
      <c r="V100" s="38">
        <f>IFERROR(VLOOKUP($A100,'Wikia | Gehege'!$A:$AL,19,FALSE)+(($S100-1)*$H100),0)</f>
        <v>0</v>
      </c>
      <c r="W100" s="85">
        <f>IFERROR(VLOOKUP($A100,'Wikia | Gehege'!$A:$AL,20,FALSE)+(($S100-1)*$I100),0)</f>
        <v>0</v>
      </c>
      <c r="X100" s="87"/>
    </row>
    <row r="101" spans="1:24" ht="35.1" customHeight="1" x14ac:dyDescent="0.2">
      <c r="A101" s="140" t="str">
        <f>'Wikia | Gehege'!A101</f>
        <v>Quokka</v>
      </c>
      <c r="B101" s="35">
        <v>235</v>
      </c>
      <c r="C101" s="36">
        <v>0</v>
      </c>
      <c r="D101" s="36">
        <v>0</v>
      </c>
      <c r="E101" s="37">
        <v>0</v>
      </c>
      <c r="F101" s="35">
        <f>IFERROR(B101-VLOOKUP($A101,'Wikia | Gehege'!$A:$AL,17,FALSE),0)</f>
        <v>35</v>
      </c>
      <c r="G101" s="36">
        <f>IFERROR(C101-VLOOKUP($A101,'Wikia | Gehege'!$A:$AL,18,FALSE),0)</f>
        <v>0</v>
      </c>
      <c r="H101" s="36">
        <f>IFERROR(D101-VLOOKUP($A101,'Wikia | Gehege'!$A:$AL,19,FALSE),0)</f>
        <v>0</v>
      </c>
      <c r="I101" s="37">
        <f>IFERROR(E101-VLOOKUP($A101,'Wikia | Gehege'!$A:$AL,20,FALSE),0)</f>
        <v>0</v>
      </c>
      <c r="J101" s="35">
        <f>IFERROR(IF(VLOOKUP($A101,'Wikia | Gehege'!$A:$AL,26,FALSE)=1,VLOOKUP($A101,'Wikia | Gehege'!$A:$AL,17,FALSE),VLOOKUP($A101,'Wikia | Gehege'!$A:$AL,17,FALSE)+VLOOKUP($A101,'Wikia | Gehege'!$A:$AL,26,FALSE)*($F101)-1*$F101),0)</f>
        <v>200</v>
      </c>
      <c r="K101" s="36">
        <f>IFERROR(IF(VLOOKUP($A101,'Wikia | Gehege'!$A:$AL,26,FALSE)=1,VLOOKUP($A101,'Wikia | Gehege'!$A:$AL,18,FALSE),VLOOKUP($A101,'Wikia | Gehege'!$A:$AL,18,FALSE)+VLOOKUP($A101,'Wikia | Gehege'!$A:$AL,26,FALSE)*($G101)-1*$G101),0)</f>
        <v>0</v>
      </c>
      <c r="L101" s="36">
        <f>IFERROR(IF(VLOOKUP($A101,'Wikia | Gehege'!$A:$AL,26,FALSE)=1,VLOOKUP($A101,'Wikia | Gehege'!$A:$AL,19,FALSE),VLOOKUP($A101,'Wikia | Gehege'!$A:$AL,19,FALSE)+VLOOKUP($A101,'Wikia | Gehege'!$A:$AL,26,FALSE)*($H101)-1*$H101),0)</f>
        <v>0</v>
      </c>
      <c r="M101" s="37">
        <f>IFERROR(IF(VLOOKUP($A101,'Wikia | Gehege'!$A:$AL,26,FALSE)=1,VLOOKUP($A101,'Wikia | Gehege'!$A:$AL,20,FALSE),VLOOKUP($A101,'Wikia | Gehege'!$A:$AL,20,FALSE)+VLOOKUP($A101,'Wikia | Gehege'!$A:$AL,26,FALSE)*($I101)-1*$I101),0)</f>
        <v>0</v>
      </c>
      <c r="N101" s="35">
        <f>IFERROR(IF(VLOOKUP($A101,'Wikia | Gehege'!$A:$AL,27,FALSE)=1,VLOOKUP($A101,'Wikia | Gehege'!$A:$AL,17,FALSE),VLOOKUP($A101,'Wikia | Gehege'!$A:$AL,17,FALSE)+VLOOKUP($A101,'Wikia | Gehege'!$A:$AL,27,FALSE)*($F101)-1*$F101),0)</f>
        <v>1005</v>
      </c>
      <c r="O101" s="36">
        <f>IFERROR(IF(VLOOKUP($A101,'Wikia | Gehege'!$A:$AL,27,FALSE)=1,VLOOKUP($A101,'Wikia | Gehege'!$A:$AL,18,FALSE),VLOOKUP($A101,'Wikia | Gehege'!$A:$AL,18,FALSE)+VLOOKUP($A101,'Wikia | Gehege'!$A:$AL,27,FALSE)*($G101)-1*$G101),0)</f>
        <v>0</v>
      </c>
      <c r="P101" s="36">
        <f>IFERROR(IF(VLOOKUP($A101,'Wikia | Gehege'!$A:$AL,27,FALSE)=1,VLOOKUP($A101,'Wikia | Gehege'!$A:$AL,19,FALSE),VLOOKUP($A101,'Wikia | Gehege'!$A:$AL,19,FALSE)+VLOOKUP($A101,'Wikia | Gehege'!$A:$AL,27,FALSE)*($H101)-1*$H101),0)</f>
        <v>0</v>
      </c>
      <c r="Q101" s="37">
        <f>IFERROR(IF(VLOOKUP($A101,'Wikia | Gehege'!$A:$AL,27,FALSE)=1,VLOOKUP($A101,'Wikia | Gehege'!$A:$AL,20,FALSE),VLOOKUP($A101,'Wikia | Gehege'!$A:$AL,20,FALSE)+VLOOKUP($A101,'Wikia | Gehege'!$A:$AL,27,FALSE)*($I101)-1*$I101),0)</f>
        <v>0</v>
      </c>
      <c r="R101" s="87"/>
      <c r="S101" s="94"/>
      <c r="T101" s="38">
        <f>IFERROR(VLOOKUP($A101,'Wikia | Gehege'!$A:$AL,17,FALSE)+(($S101-1)*$F101),0)</f>
        <v>165</v>
      </c>
      <c r="U101" s="38">
        <f>IFERROR(VLOOKUP($A101,'Wikia | Gehege'!$A:$AL,18,FALSE)+(($S101-1)*$G101),0)</f>
        <v>0</v>
      </c>
      <c r="V101" s="38">
        <f>IFERROR(VLOOKUP($A101,'Wikia | Gehege'!$A:$AL,19,FALSE)+(($S101-1)*$H101),0)</f>
        <v>0</v>
      </c>
      <c r="W101" s="85">
        <f>IFERROR(VLOOKUP($A101,'Wikia | Gehege'!$A:$AL,20,FALSE)+(($S101-1)*$I101),0)</f>
        <v>0</v>
      </c>
      <c r="X101" s="87"/>
    </row>
    <row r="102" spans="1:24" ht="35.1" customHeight="1" x14ac:dyDescent="0.2">
      <c r="A102" s="140" t="str">
        <f>'Wikia | Gehege'!A102</f>
        <v xml:space="preserve">Rappenantilope </v>
      </c>
      <c r="B102" s="35">
        <v>510</v>
      </c>
      <c r="C102" s="36">
        <v>0</v>
      </c>
      <c r="D102" s="36">
        <v>0</v>
      </c>
      <c r="E102" s="37">
        <v>0</v>
      </c>
      <c r="F102" s="35">
        <f>IFERROR(B102-VLOOKUP($A102,'Wikia | Gehege'!$A:$AL,17,FALSE),0)</f>
        <v>60</v>
      </c>
      <c r="G102" s="36">
        <f>IFERROR(C102-VLOOKUP($A102,'Wikia | Gehege'!$A:$AL,18,FALSE),0)</f>
        <v>0</v>
      </c>
      <c r="H102" s="36">
        <f>IFERROR(D102-VLOOKUP($A102,'Wikia | Gehege'!$A:$AL,19,FALSE),0)</f>
        <v>0</v>
      </c>
      <c r="I102" s="37">
        <f>IFERROR(E102-VLOOKUP($A102,'Wikia | Gehege'!$A:$AL,20,FALSE),0)</f>
        <v>0</v>
      </c>
      <c r="J102" s="35">
        <f>IFERROR(IF(VLOOKUP($A102,'Wikia | Gehege'!$A:$AL,26,FALSE)=1,VLOOKUP($A102,'Wikia | Gehege'!$A:$AL,17,FALSE),VLOOKUP($A102,'Wikia | Gehege'!$A:$AL,17,FALSE)+VLOOKUP($A102,'Wikia | Gehege'!$A:$AL,26,FALSE)*($F102)-1*$F102),0)</f>
        <v>450</v>
      </c>
      <c r="K102" s="36">
        <f>IFERROR(IF(VLOOKUP($A102,'Wikia | Gehege'!$A:$AL,26,FALSE)=1,VLOOKUP($A102,'Wikia | Gehege'!$A:$AL,18,FALSE),VLOOKUP($A102,'Wikia | Gehege'!$A:$AL,18,FALSE)+VLOOKUP($A102,'Wikia | Gehege'!$A:$AL,26,FALSE)*($G102)-1*$G102),0)</f>
        <v>0</v>
      </c>
      <c r="L102" s="36">
        <f>IFERROR(IF(VLOOKUP($A102,'Wikia | Gehege'!$A:$AL,26,FALSE)=1,VLOOKUP($A102,'Wikia | Gehege'!$A:$AL,19,FALSE),VLOOKUP($A102,'Wikia | Gehege'!$A:$AL,19,FALSE)+VLOOKUP($A102,'Wikia | Gehege'!$A:$AL,26,FALSE)*($H102)-1*$H102),0)</f>
        <v>0</v>
      </c>
      <c r="M102" s="37">
        <f>IFERROR(IF(VLOOKUP($A102,'Wikia | Gehege'!$A:$AL,26,FALSE)=1,VLOOKUP($A102,'Wikia | Gehege'!$A:$AL,20,FALSE),VLOOKUP($A102,'Wikia | Gehege'!$A:$AL,20,FALSE)+VLOOKUP($A102,'Wikia | Gehege'!$A:$AL,26,FALSE)*($I102)-1*$I102),0)</f>
        <v>0</v>
      </c>
      <c r="N102" s="35">
        <f>IFERROR(IF(VLOOKUP($A102,'Wikia | Gehege'!$A:$AL,27,FALSE)=1,VLOOKUP($A102,'Wikia | Gehege'!$A:$AL,17,FALSE),VLOOKUP($A102,'Wikia | Gehege'!$A:$AL,17,FALSE)+VLOOKUP($A102,'Wikia | Gehege'!$A:$AL,27,FALSE)*($F102)-1*$F102),0)</f>
        <v>1050</v>
      </c>
      <c r="O102" s="36">
        <f>IFERROR(IF(VLOOKUP($A102,'Wikia | Gehege'!$A:$AL,27,FALSE)=1,VLOOKUP($A102,'Wikia | Gehege'!$A:$AL,18,FALSE),VLOOKUP($A102,'Wikia | Gehege'!$A:$AL,18,FALSE)+VLOOKUP($A102,'Wikia | Gehege'!$A:$AL,27,FALSE)*($G102)-1*$G102),0)</f>
        <v>0</v>
      </c>
      <c r="P102" s="36">
        <f>IFERROR(IF(VLOOKUP($A102,'Wikia | Gehege'!$A:$AL,27,FALSE)=1,VLOOKUP($A102,'Wikia | Gehege'!$A:$AL,19,FALSE),VLOOKUP($A102,'Wikia | Gehege'!$A:$AL,19,FALSE)+VLOOKUP($A102,'Wikia | Gehege'!$A:$AL,27,FALSE)*($H102)-1*$H102),0)</f>
        <v>0</v>
      </c>
      <c r="Q102" s="37">
        <f>IFERROR(IF(VLOOKUP($A102,'Wikia | Gehege'!$A:$AL,27,FALSE)=1,VLOOKUP($A102,'Wikia | Gehege'!$A:$AL,20,FALSE),VLOOKUP($A102,'Wikia | Gehege'!$A:$AL,20,FALSE)+VLOOKUP($A102,'Wikia | Gehege'!$A:$AL,27,FALSE)*($I102)-1*$I102),0)</f>
        <v>0</v>
      </c>
      <c r="R102" s="87"/>
      <c r="S102" s="94"/>
      <c r="T102" s="38">
        <f>IFERROR(VLOOKUP($A102,'Wikia | Gehege'!$A:$AL,17,FALSE)+(($S102-1)*$F102),0)</f>
        <v>390</v>
      </c>
      <c r="U102" s="38">
        <f>IFERROR(VLOOKUP($A102,'Wikia | Gehege'!$A:$AL,18,FALSE)+(($S102-1)*$G102),0)</f>
        <v>0</v>
      </c>
      <c r="V102" s="38">
        <f>IFERROR(VLOOKUP($A102,'Wikia | Gehege'!$A:$AL,19,FALSE)+(($S102-1)*$H102),0)</f>
        <v>0</v>
      </c>
      <c r="W102" s="85">
        <f>IFERROR(VLOOKUP($A102,'Wikia | Gehege'!$A:$AL,20,FALSE)+(($S102-1)*$I102),0)</f>
        <v>0</v>
      </c>
      <c r="X102" s="87"/>
    </row>
    <row r="103" spans="1:24" ht="35.1" customHeight="1" x14ac:dyDescent="0.2">
      <c r="A103" s="140" t="str">
        <f>'Wikia | Gehege'!A103</f>
        <v>Rentier</v>
      </c>
      <c r="B103" s="35">
        <v>430</v>
      </c>
      <c r="C103" s="36">
        <v>0</v>
      </c>
      <c r="D103" s="36">
        <v>0</v>
      </c>
      <c r="E103" s="37">
        <v>0</v>
      </c>
      <c r="F103" s="35">
        <f>IFERROR(B103-VLOOKUP($A103,'Wikia | Gehege'!$A:$AL,17,FALSE),0)</f>
        <v>60</v>
      </c>
      <c r="G103" s="36">
        <f>IFERROR(C103-VLOOKUP($A103,'Wikia | Gehege'!$A:$AL,18,FALSE),0)</f>
        <v>0</v>
      </c>
      <c r="H103" s="36">
        <f>IFERROR(D103-VLOOKUP($A103,'Wikia | Gehege'!$A:$AL,19,FALSE),0)</f>
        <v>0</v>
      </c>
      <c r="I103" s="37">
        <f>IFERROR(E103-VLOOKUP($A103,'Wikia | Gehege'!$A:$AL,20,FALSE),0)</f>
        <v>0</v>
      </c>
      <c r="J103" s="35">
        <f>IFERROR(IF(VLOOKUP($A103,'Wikia | Gehege'!$A:$AL,26,FALSE)=1,VLOOKUP($A103,'Wikia | Gehege'!$A:$AL,17,FALSE),VLOOKUP($A103,'Wikia | Gehege'!$A:$AL,17,FALSE)+VLOOKUP($A103,'Wikia | Gehege'!$A:$AL,26,FALSE)*($F103)-1*$F103),0)</f>
        <v>490</v>
      </c>
      <c r="K103" s="36">
        <f>IFERROR(IF(VLOOKUP($A103,'Wikia | Gehege'!$A:$AL,26,FALSE)=1,VLOOKUP($A103,'Wikia | Gehege'!$A:$AL,18,FALSE),VLOOKUP($A103,'Wikia | Gehege'!$A:$AL,18,FALSE)+VLOOKUP($A103,'Wikia | Gehege'!$A:$AL,26,FALSE)*($G103)-1*$G103),0)</f>
        <v>0</v>
      </c>
      <c r="L103" s="36">
        <f>IFERROR(IF(VLOOKUP($A103,'Wikia | Gehege'!$A:$AL,26,FALSE)=1,VLOOKUP($A103,'Wikia | Gehege'!$A:$AL,19,FALSE),VLOOKUP($A103,'Wikia | Gehege'!$A:$AL,19,FALSE)+VLOOKUP($A103,'Wikia | Gehege'!$A:$AL,26,FALSE)*($H103)-1*$H103),0)</f>
        <v>0</v>
      </c>
      <c r="M103" s="37">
        <f>IFERROR(IF(VLOOKUP($A103,'Wikia | Gehege'!$A:$AL,26,FALSE)=1,VLOOKUP($A103,'Wikia | Gehege'!$A:$AL,20,FALSE),VLOOKUP($A103,'Wikia | Gehege'!$A:$AL,20,FALSE)+VLOOKUP($A103,'Wikia | Gehege'!$A:$AL,26,FALSE)*($I103)-1*$I103),0)</f>
        <v>0</v>
      </c>
      <c r="N103" s="35">
        <f>IFERROR(IF(VLOOKUP($A103,'Wikia | Gehege'!$A:$AL,27,FALSE)=1,VLOOKUP($A103,'Wikia | Gehege'!$A:$AL,17,FALSE),VLOOKUP($A103,'Wikia | Gehege'!$A:$AL,17,FALSE)+VLOOKUP($A103,'Wikia | Gehege'!$A:$AL,27,FALSE)*($F103)-1*$F103),0)</f>
        <v>1030</v>
      </c>
      <c r="O103" s="36">
        <f>IFERROR(IF(VLOOKUP($A103,'Wikia | Gehege'!$A:$AL,27,FALSE)=1,VLOOKUP($A103,'Wikia | Gehege'!$A:$AL,18,FALSE),VLOOKUP($A103,'Wikia | Gehege'!$A:$AL,18,FALSE)+VLOOKUP($A103,'Wikia | Gehege'!$A:$AL,27,FALSE)*($G103)-1*$G103),0)</f>
        <v>0</v>
      </c>
      <c r="P103" s="36">
        <f>IFERROR(IF(VLOOKUP($A103,'Wikia | Gehege'!$A:$AL,27,FALSE)=1,VLOOKUP($A103,'Wikia | Gehege'!$A:$AL,19,FALSE),VLOOKUP($A103,'Wikia | Gehege'!$A:$AL,19,FALSE)+VLOOKUP($A103,'Wikia | Gehege'!$A:$AL,27,FALSE)*($H103)-1*$H103),0)</f>
        <v>0</v>
      </c>
      <c r="Q103" s="37">
        <f>IFERROR(IF(VLOOKUP($A103,'Wikia | Gehege'!$A:$AL,27,FALSE)=1,VLOOKUP($A103,'Wikia | Gehege'!$A:$AL,20,FALSE),VLOOKUP($A103,'Wikia | Gehege'!$A:$AL,20,FALSE)+VLOOKUP($A103,'Wikia | Gehege'!$A:$AL,27,FALSE)*($I103)-1*$I103),0)</f>
        <v>0</v>
      </c>
      <c r="R103" s="87"/>
      <c r="S103" s="94"/>
      <c r="T103" s="38">
        <f>IFERROR(VLOOKUP($A103,'Wikia | Gehege'!$A:$AL,17,FALSE)+(($S103-1)*$F103),0)</f>
        <v>310</v>
      </c>
      <c r="U103" s="38">
        <f>IFERROR(VLOOKUP($A103,'Wikia | Gehege'!$A:$AL,18,FALSE)+(($S103-1)*$G103),0)</f>
        <v>0</v>
      </c>
      <c r="V103" s="38">
        <f>IFERROR(VLOOKUP($A103,'Wikia | Gehege'!$A:$AL,19,FALSE)+(($S103-1)*$H103),0)</f>
        <v>0</v>
      </c>
      <c r="W103" s="85">
        <f>IFERROR(VLOOKUP($A103,'Wikia | Gehege'!$A:$AL,20,FALSE)+(($S103-1)*$I103),0)</f>
        <v>0</v>
      </c>
      <c r="X103" s="87"/>
    </row>
    <row r="104" spans="1:24" ht="35.1" customHeight="1" x14ac:dyDescent="0.2">
      <c r="A104" s="140" t="str">
        <f>'Wikia | Gehege'!A104</f>
        <v>Riesenotter</v>
      </c>
      <c r="B104" s="35">
        <v>420</v>
      </c>
      <c r="C104" s="36">
        <v>0</v>
      </c>
      <c r="D104" s="36">
        <v>180</v>
      </c>
      <c r="E104" s="37">
        <v>90</v>
      </c>
      <c r="F104" s="35">
        <f>IFERROR(B104-VLOOKUP($A104,'Wikia | Gehege'!$A:$AL,17,FALSE),0)</f>
        <v>60</v>
      </c>
      <c r="G104" s="36">
        <f>IFERROR(C104-VLOOKUP($A104,'Wikia | Gehege'!$A:$AL,18,FALSE),0)</f>
        <v>0</v>
      </c>
      <c r="H104" s="36">
        <f>IFERROR(D104-VLOOKUP($A104,'Wikia | Gehege'!$A:$AL,19,FALSE),0)</f>
        <v>36</v>
      </c>
      <c r="I104" s="37">
        <f>IFERROR(E104-VLOOKUP($A104,'Wikia | Gehege'!$A:$AL,20,FALSE),0)</f>
        <v>18</v>
      </c>
      <c r="J104" s="35">
        <f>IFERROR(IF(VLOOKUP($A104,'Wikia | Gehege'!$A:$AL,26,FALSE)=1,VLOOKUP($A104,'Wikia | Gehege'!$A:$AL,17,FALSE),VLOOKUP($A104,'Wikia | Gehege'!$A:$AL,17,FALSE)+VLOOKUP($A104,'Wikia | Gehege'!$A:$AL,26,FALSE)*($F104)-1*$F104),0)</f>
        <v>420</v>
      </c>
      <c r="K104" s="36">
        <f>IFERROR(IF(VLOOKUP($A104,'Wikia | Gehege'!$A:$AL,26,FALSE)=1,VLOOKUP($A104,'Wikia | Gehege'!$A:$AL,18,FALSE),VLOOKUP($A104,'Wikia | Gehege'!$A:$AL,18,FALSE)+VLOOKUP($A104,'Wikia | Gehege'!$A:$AL,26,FALSE)*($G104)-1*$G104),0)</f>
        <v>0</v>
      </c>
      <c r="L104" s="36">
        <f>IFERROR(IF(VLOOKUP($A104,'Wikia | Gehege'!$A:$AL,26,FALSE)=1,VLOOKUP($A104,'Wikia | Gehege'!$A:$AL,19,FALSE),VLOOKUP($A104,'Wikia | Gehege'!$A:$AL,19,FALSE)+VLOOKUP($A104,'Wikia | Gehege'!$A:$AL,26,FALSE)*($H104)-1*$H104),0)</f>
        <v>180</v>
      </c>
      <c r="M104" s="37">
        <f>IFERROR(IF(VLOOKUP($A104,'Wikia | Gehege'!$A:$AL,26,FALSE)=1,VLOOKUP($A104,'Wikia | Gehege'!$A:$AL,20,FALSE),VLOOKUP($A104,'Wikia | Gehege'!$A:$AL,20,FALSE)+VLOOKUP($A104,'Wikia | Gehege'!$A:$AL,26,FALSE)*($I104)-1*$I104),0)</f>
        <v>90</v>
      </c>
      <c r="N104" s="35">
        <f>IFERROR(IF(VLOOKUP($A104,'Wikia | Gehege'!$A:$AL,27,FALSE)=1,VLOOKUP($A104,'Wikia | Gehege'!$A:$AL,17,FALSE),VLOOKUP($A104,'Wikia | Gehege'!$A:$AL,17,FALSE)+VLOOKUP($A104,'Wikia | Gehege'!$A:$AL,27,FALSE)*($F104)-1*$F104),0)</f>
        <v>1200</v>
      </c>
      <c r="O104" s="36">
        <f>IFERROR(IF(VLOOKUP($A104,'Wikia | Gehege'!$A:$AL,27,FALSE)=1,VLOOKUP($A104,'Wikia | Gehege'!$A:$AL,18,FALSE),VLOOKUP($A104,'Wikia | Gehege'!$A:$AL,18,FALSE)+VLOOKUP($A104,'Wikia | Gehege'!$A:$AL,27,FALSE)*($G104)-1*$G104),0)</f>
        <v>0</v>
      </c>
      <c r="P104" s="36">
        <f>IFERROR(IF(VLOOKUP($A104,'Wikia | Gehege'!$A:$AL,27,FALSE)=1,VLOOKUP($A104,'Wikia | Gehege'!$A:$AL,19,FALSE),VLOOKUP($A104,'Wikia | Gehege'!$A:$AL,19,FALSE)+VLOOKUP($A104,'Wikia | Gehege'!$A:$AL,27,FALSE)*($H104)-1*$H104),0)</f>
        <v>648</v>
      </c>
      <c r="Q104" s="37">
        <f>IFERROR(IF(VLOOKUP($A104,'Wikia | Gehege'!$A:$AL,27,FALSE)=1,VLOOKUP($A104,'Wikia | Gehege'!$A:$AL,20,FALSE),VLOOKUP($A104,'Wikia | Gehege'!$A:$AL,20,FALSE)+VLOOKUP($A104,'Wikia | Gehege'!$A:$AL,27,FALSE)*($I104)-1*$I104),0)</f>
        <v>324</v>
      </c>
      <c r="R104" s="87"/>
      <c r="S104" s="94"/>
      <c r="T104" s="38">
        <f>IFERROR(VLOOKUP($A104,'Wikia | Gehege'!$A:$AL,17,FALSE)+(($S104-1)*$F104),0)</f>
        <v>300</v>
      </c>
      <c r="U104" s="38">
        <f>IFERROR(VLOOKUP($A104,'Wikia | Gehege'!$A:$AL,18,FALSE)+(($S104-1)*$G104),0)</f>
        <v>0</v>
      </c>
      <c r="V104" s="38">
        <f>IFERROR(VLOOKUP($A104,'Wikia | Gehege'!$A:$AL,19,FALSE)+(($S104-1)*$H104),0)</f>
        <v>108</v>
      </c>
      <c r="W104" s="85">
        <f>IFERROR(VLOOKUP($A104,'Wikia | Gehege'!$A:$AL,20,FALSE)+(($S104-1)*$I104),0)</f>
        <v>54</v>
      </c>
      <c r="X104" s="87"/>
    </row>
    <row r="105" spans="1:24" ht="35.1" customHeight="1" x14ac:dyDescent="0.2">
      <c r="A105" s="140" t="str">
        <f>'Wikia | Gehege'!A105</f>
        <v xml:space="preserve">Rosaflamingo </v>
      </c>
      <c r="B105" s="35">
        <v>309</v>
      </c>
      <c r="C105" s="36">
        <v>0</v>
      </c>
      <c r="D105" s="36">
        <v>137</v>
      </c>
      <c r="E105" s="37">
        <v>0</v>
      </c>
      <c r="F105" s="35">
        <f>IFERROR(B105-VLOOKUP($A105,'Wikia | Gehege'!$A:$AL,17,FALSE),0)</f>
        <v>9</v>
      </c>
      <c r="G105" s="36">
        <f>IFERROR(C105-VLOOKUP($A105,'Wikia | Gehege'!$A:$AL,18,FALSE),0)</f>
        <v>0</v>
      </c>
      <c r="H105" s="36">
        <f>IFERROR(D105-VLOOKUP($A105,'Wikia | Gehege'!$A:$AL,19,FALSE),0)</f>
        <v>12</v>
      </c>
      <c r="I105" s="37">
        <f>IFERROR(E105-VLOOKUP($A105,'Wikia | Gehege'!$A:$AL,20,FALSE),0)</f>
        <v>0</v>
      </c>
      <c r="J105" s="35">
        <f>IFERROR(IF(VLOOKUP($A105,'Wikia | Gehege'!$A:$AL,26,FALSE)=1,VLOOKUP($A105,'Wikia | Gehege'!$A:$AL,17,FALSE),VLOOKUP($A105,'Wikia | Gehege'!$A:$AL,17,FALSE)+VLOOKUP($A105,'Wikia | Gehege'!$A:$AL,26,FALSE)*($F105)-1*$F105),0)</f>
        <v>381</v>
      </c>
      <c r="K105" s="36">
        <f>IFERROR(IF(VLOOKUP($A105,'Wikia | Gehege'!$A:$AL,26,FALSE)=1,VLOOKUP($A105,'Wikia | Gehege'!$A:$AL,18,FALSE),VLOOKUP($A105,'Wikia | Gehege'!$A:$AL,18,FALSE)+VLOOKUP($A105,'Wikia | Gehege'!$A:$AL,26,FALSE)*($G105)-1*$G105),0)</f>
        <v>0</v>
      </c>
      <c r="L105" s="36">
        <f>IFERROR(IF(VLOOKUP($A105,'Wikia | Gehege'!$A:$AL,26,FALSE)=1,VLOOKUP($A105,'Wikia | Gehege'!$A:$AL,19,FALSE),VLOOKUP($A105,'Wikia | Gehege'!$A:$AL,19,FALSE)+VLOOKUP($A105,'Wikia | Gehege'!$A:$AL,26,FALSE)*($H105)-1*$H105),0)</f>
        <v>233</v>
      </c>
      <c r="M105" s="37">
        <f>IFERROR(IF(VLOOKUP($A105,'Wikia | Gehege'!$A:$AL,26,FALSE)=1,VLOOKUP($A105,'Wikia | Gehege'!$A:$AL,20,FALSE),VLOOKUP($A105,'Wikia | Gehege'!$A:$AL,20,FALSE)+VLOOKUP($A105,'Wikia | Gehege'!$A:$AL,26,FALSE)*($I105)-1*$I105),0)</f>
        <v>0</v>
      </c>
      <c r="N105" s="35">
        <f>IFERROR(IF(VLOOKUP($A105,'Wikia | Gehege'!$A:$AL,27,FALSE)=1,VLOOKUP($A105,'Wikia | Gehege'!$A:$AL,17,FALSE),VLOOKUP($A105,'Wikia | Gehege'!$A:$AL,17,FALSE)+VLOOKUP($A105,'Wikia | Gehege'!$A:$AL,27,FALSE)*($F105)-1*$F105),0)</f>
        <v>4791</v>
      </c>
      <c r="O105" s="36">
        <f>IFERROR(IF(VLOOKUP($A105,'Wikia | Gehege'!$A:$AL,27,FALSE)=1,VLOOKUP($A105,'Wikia | Gehege'!$A:$AL,18,FALSE),VLOOKUP($A105,'Wikia | Gehege'!$A:$AL,18,FALSE)+VLOOKUP($A105,'Wikia | Gehege'!$A:$AL,27,FALSE)*($G105)-1*$G105),0)</f>
        <v>0</v>
      </c>
      <c r="P105" s="36">
        <f>IFERROR(IF(VLOOKUP($A105,'Wikia | Gehege'!$A:$AL,27,FALSE)=1,VLOOKUP($A105,'Wikia | Gehege'!$A:$AL,19,FALSE),VLOOKUP($A105,'Wikia | Gehege'!$A:$AL,19,FALSE)+VLOOKUP($A105,'Wikia | Gehege'!$A:$AL,27,FALSE)*($H105)-1*$H105),0)</f>
        <v>6113</v>
      </c>
      <c r="Q105" s="37">
        <f>IFERROR(IF(VLOOKUP($A105,'Wikia | Gehege'!$A:$AL,27,FALSE)=1,VLOOKUP($A105,'Wikia | Gehege'!$A:$AL,20,FALSE),VLOOKUP($A105,'Wikia | Gehege'!$A:$AL,20,FALSE)+VLOOKUP($A105,'Wikia | Gehege'!$A:$AL,27,FALSE)*($I105)-1*$I105),0)</f>
        <v>0</v>
      </c>
      <c r="R105" s="87"/>
      <c r="S105" s="94"/>
      <c r="T105" s="38">
        <f>IFERROR(VLOOKUP($A105,'Wikia | Gehege'!$A:$AL,17,FALSE)+(($S105-1)*$F105),0)</f>
        <v>291</v>
      </c>
      <c r="U105" s="38">
        <f>IFERROR(VLOOKUP($A105,'Wikia | Gehege'!$A:$AL,18,FALSE)+(($S105-1)*$G105),0)</f>
        <v>0</v>
      </c>
      <c r="V105" s="38">
        <f>IFERROR(VLOOKUP($A105,'Wikia | Gehege'!$A:$AL,19,FALSE)+(($S105-1)*$H105),0)</f>
        <v>113</v>
      </c>
      <c r="W105" s="85">
        <f>IFERROR(VLOOKUP($A105,'Wikia | Gehege'!$A:$AL,20,FALSE)+(($S105-1)*$I105),0)</f>
        <v>0</v>
      </c>
      <c r="X105" s="87"/>
    </row>
    <row r="106" spans="1:24" ht="35.1" customHeight="1" x14ac:dyDescent="0.2">
      <c r="A106" s="140" t="str">
        <f>'Wikia | Gehege'!A106</f>
        <v xml:space="preserve">Roter Vari </v>
      </c>
      <c r="B106" s="35">
        <v>218</v>
      </c>
      <c r="C106" s="36">
        <v>24</v>
      </c>
      <c r="D106" s="36">
        <v>0</v>
      </c>
      <c r="E106" s="37">
        <v>0</v>
      </c>
      <c r="F106" s="35">
        <f>IFERROR(B106-VLOOKUP($A106,'Wikia | Gehege'!$A:$AL,17,FALSE),0)</f>
        <v>8</v>
      </c>
      <c r="G106" s="36">
        <f>IFERROR(C106-VLOOKUP($A106,'Wikia | Gehege'!$A:$AL,18,FALSE),0)</f>
        <v>4</v>
      </c>
      <c r="H106" s="36">
        <f>IFERROR(D106-VLOOKUP($A106,'Wikia | Gehege'!$A:$AL,19,FALSE),0)</f>
        <v>0</v>
      </c>
      <c r="I106" s="37">
        <f>IFERROR(E106-VLOOKUP($A106,'Wikia | Gehege'!$A:$AL,20,FALSE),0)</f>
        <v>0</v>
      </c>
      <c r="J106" s="35">
        <f>IFERROR(IF(VLOOKUP($A106,'Wikia | Gehege'!$A:$AL,26,FALSE)=1,VLOOKUP($A106,'Wikia | Gehege'!$A:$AL,17,FALSE),VLOOKUP($A106,'Wikia | Gehege'!$A:$AL,17,FALSE)+VLOOKUP($A106,'Wikia | Gehege'!$A:$AL,26,FALSE)*($F106)-1*$F106),0)</f>
        <v>226</v>
      </c>
      <c r="K106" s="36">
        <f>IFERROR(IF(VLOOKUP($A106,'Wikia | Gehege'!$A:$AL,26,FALSE)=1,VLOOKUP($A106,'Wikia | Gehege'!$A:$AL,18,FALSE),VLOOKUP($A106,'Wikia | Gehege'!$A:$AL,18,FALSE)+VLOOKUP($A106,'Wikia | Gehege'!$A:$AL,26,FALSE)*($G106)-1*$G106),0)</f>
        <v>28</v>
      </c>
      <c r="L106" s="36">
        <f>IFERROR(IF(VLOOKUP($A106,'Wikia | Gehege'!$A:$AL,26,FALSE)=1,VLOOKUP($A106,'Wikia | Gehege'!$A:$AL,19,FALSE),VLOOKUP($A106,'Wikia | Gehege'!$A:$AL,19,FALSE)+VLOOKUP($A106,'Wikia | Gehege'!$A:$AL,26,FALSE)*($H106)-1*$H106),0)</f>
        <v>0</v>
      </c>
      <c r="M106" s="37">
        <f>IFERROR(IF(VLOOKUP($A106,'Wikia | Gehege'!$A:$AL,26,FALSE)=1,VLOOKUP($A106,'Wikia | Gehege'!$A:$AL,20,FALSE),VLOOKUP($A106,'Wikia | Gehege'!$A:$AL,20,FALSE)+VLOOKUP($A106,'Wikia | Gehege'!$A:$AL,26,FALSE)*($I106)-1*$I106),0)</f>
        <v>0</v>
      </c>
      <c r="N106" s="35">
        <f>IFERROR(IF(VLOOKUP($A106,'Wikia | Gehege'!$A:$AL,27,FALSE)=1,VLOOKUP($A106,'Wikia | Gehege'!$A:$AL,17,FALSE),VLOOKUP($A106,'Wikia | Gehege'!$A:$AL,17,FALSE)+VLOOKUP($A106,'Wikia | Gehege'!$A:$AL,27,FALSE)*($F106)-1*$F106),0)</f>
        <v>442</v>
      </c>
      <c r="O106" s="36">
        <f>IFERROR(IF(VLOOKUP($A106,'Wikia | Gehege'!$A:$AL,27,FALSE)=1,VLOOKUP($A106,'Wikia | Gehege'!$A:$AL,18,FALSE),VLOOKUP($A106,'Wikia | Gehege'!$A:$AL,18,FALSE)+VLOOKUP($A106,'Wikia | Gehege'!$A:$AL,27,FALSE)*($G106)-1*$G106),0)</f>
        <v>136</v>
      </c>
      <c r="P106" s="36">
        <f>IFERROR(IF(VLOOKUP($A106,'Wikia | Gehege'!$A:$AL,27,FALSE)=1,VLOOKUP($A106,'Wikia | Gehege'!$A:$AL,19,FALSE),VLOOKUP($A106,'Wikia | Gehege'!$A:$AL,19,FALSE)+VLOOKUP($A106,'Wikia | Gehege'!$A:$AL,27,FALSE)*($H106)-1*$H106),0)</f>
        <v>0</v>
      </c>
      <c r="Q106" s="37">
        <f>IFERROR(IF(VLOOKUP($A106,'Wikia | Gehege'!$A:$AL,27,FALSE)=1,VLOOKUP($A106,'Wikia | Gehege'!$A:$AL,20,FALSE),VLOOKUP($A106,'Wikia | Gehege'!$A:$AL,20,FALSE)+VLOOKUP($A106,'Wikia | Gehege'!$A:$AL,27,FALSE)*($I106)-1*$I106),0)</f>
        <v>0</v>
      </c>
      <c r="R106" s="87"/>
      <c r="S106" s="94"/>
      <c r="T106" s="38">
        <f>IFERROR(VLOOKUP($A106,'Wikia | Gehege'!$A:$AL,17,FALSE)+(($S106-1)*$F106),0)</f>
        <v>202</v>
      </c>
      <c r="U106" s="38">
        <f>IFERROR(VLOOKUP($A106,'Wikia | Gehege'!$A:$AL,18,FALSE)+(($S106-1)*$G106),0)</f>
        <v>16</v>
      </c>
      <c r="V106" s="38">
        <f>IFERROR(VLOOKUP($A106,'Wikia | Gehege'!$A:$AL,19,FALSE)+(($S106-1)*$H106),0)</f>
        <v>0</v>
      </c>
      <c r="W106" s="85">
        <f>IFERROR(VLOOKUP($A106,'Wikia | Gehege'!$A:$AL,20,FALSE)+(($S106-1)*$I106),0)</f>
        <v>0</v>
      </c>
      <c r="X106" s="87"/>
    </row>
    <row r="107" spans="1:24" ht="35.1" customHeight="1" x14ac:dyDescent="0.2">
      <c r="A107" s="140" t="str">
        <f>'Wikia | Gehege'!A107</f>
        <v xml:space="preserve">Rotes Riesenkänguru </v>
      </c>
      <c r="B107" s="35">
        <v>390</v>
      </c>
      <c r="C107" s="36">
        <v>0</v>
      </c>
      <c r="D107" s="36">
        <v>0</v>
      </c>
      <c r="E107" s="37">
        <v>0</v>
      </c>
      <c r="F107" s="35">
        <f>IFERROR(B107-VLOOKUP($A107,'Wikia | Gehege'!$A:$AL,17,FALSE),0)</f>
        <v>60</v>
      </c>
      <c r="G107" s="36">
        <f>IFERROR(C107-VLOOKUP($A107,'Wikia | Gehege'!$A:$AL,18,FALSE),0)</f>
        <v>0</v>
      </c>
      <c r="H107" s="36">
        <f>IFERROR(D107-VLOOKUP($A107,'Wikia | Gehege'!$A:$AL,19,FALSE),0)</f>
        <v>0</v>
      </c>
      <c r="I107" s="37">
        <f>IFERROR(E107-VLOOKUP($A107,'Wikia | Gehege'!$A:$AL,20,FALSE),0)</f>
        <v>0</v>
      </c>
      <c r="J107" s="35">
        <f>IFERROR(IF(VLOOKUP($A107,'Wikia | Gehege'!$A:$AL,26,FALSE)=1,VLOOKUP($A107,'Wikia | Gehege'!$A:$AL,17,FALSE),VLOOKUP($A107,'Wikia | Gehege'!$A:$AL,17,FALSE)+VLOOKUP($A107,'Wikia | Gehege'!$A:$AL,26,FALSE)*($F107)-1*$F107),0)</f>
        <v>390</v>
      </c>
      <c r="K107" s="36">
        <f>IFERROR(IF(VLOOKUP($A107,'Wikia | Gehege'!$A:$AL,26,FALSE)=1,VLOOKUP($A107,'Wikia | Gehege'!$A:$AL,18,FALSE),VLOOKUP($A107,'Wikia | Gehege'!$A:$AL,18,FALSE)+VLOOKUP($A107,'Wikia | Gehege'!$A:$AL,26,FALSE)*($G107)-1*$G107),0)</f>
        <v>0</v>
      </c>
      <c r="L107" s="36">
        <f>IFERROR(IF(VLOOKUP($A107,'Wikia | Gehege'!$A:$AL,26,FALSE)=1,VLOOKUP($A107,'Wikia | Gehege'!$A:$AL,19,FALSE),VLOOKUP($A107,'Wikia | Gehege'!$A:$AL,19,FALSE)+VLOOKUP($A107,'Wikia | Gehege'!$A:$AL,26,FALSE)*($H107)-1*$H107),0)</f>
        <v>0</v>
      </c>
      <c r="M107" s="37">
        <f>IFERROR(IF(VLOOKUP($A107,'Wikia | Gehege'!$A:$AL,26,FALSE)=1,VLOOKUP($A107,'Wikia | Gehege'!$A:$AL,20,FALSE),VLOOKUP($A107,'Wikia | Gehege'!$A:$AL,20,FALSE)+VLOOKUP($A107,'Wikia | Gehege'!$A:$AL,26,FALSE)*($I107)-1*$I107),0)</f>
        <v>0</v>
      </c>
      <c r="N107" s="35">
        <f>IFERROR(IF(VLOOKUP($A107,'Wikia | Gehege'!$A:$AL,27,FALSE)=1,VLOOKUP($A107,'Wikia | Gehege'!$A:$AL,17,FALSE),VLOOKUP($A107,'Wikia | Gehege'!$A:$AL,17,FALSE)+VLOOKUP($A107,'Wikia | Gehege'!$A:$AL,27,FALSE)*($F107)-1*$F107),0)</f>
        <v>870</v>
      </c>
      <c r="O107" s="36">
        <f>IFERROR(IF(VLOOKUP($A107,'Wikia | Gehege'!$A:$AL,27,FALSE)=1,VLOOKUP($A107,'Wikia | Gehege'!$A:$AL,18,FALSE),VLOOKUP($A107,'Wikia | Gehege'!$A:$AL,18,FALSE)+VLOOKUP($A107,'Wikia | Gehege'!$A:$AL,27,FALSE)*($G107)-1*$G107),0)</f>
        <v>0</v>
      </c>
      <c r="P107" s="36">
        <f>IFERROR(IF(VLOOKUP($A107,'Wikia | Gehege'!$A:$AL,27,FALSE)=1,VLOOKUP($A107,'Wikia | Gehege'!$A:$AL,19,FALSE),VLOOKUP($A107,'Wikia | Gehege'!$A:$AL,19,FALSE)+VLOOKUP($A107,'Wikia | Gehege'!$A:$AL,27,FALSE)*($H107)-1*$H107),0)</f>
        <v>0</v>
      </c>
      <c r="Q107" s="37">
        <f>IFERROR(IF(VLOOKUP($A107,'Wikia | Gehege'!$A:$AL,27,FALSE)=1,VLOOKUP($A107,'Wikia | Gehege'!$A:$AL,20,FALSE),VLOOKUP($A107,'Wikia | Gehege'!$A:$AL,20,FALSE)+VLOOKUP($A107,'Wikia | Gehege'!$A:$AL,27,FALSE)*($I107)-1*$I107),0)</f>
        <v>0</v>
      </c>
      <c r="R107" s="87"/>
      <c r="S107" s="94"/>
      <c r="T107" s="38">
        <f>IFERROR(VLOOKUP($A107,'Wikia | Gehege'!$A:$AL,17,FALSE)+(($S107-1)*$F107),0)</f>
        <v>270</v>
      </c>
      <c r="U107" s="38">
        <f>IFERROR(VLOOKUP($A107,'Wikia | Gehege'!$A:$AL,18,FALSE)+(($S107-1)*$G107),0)</f>
        <v>0</v>
      </c>
      <c r="V107" s="38">
        <f>IFERROR(VLOOKUP($A107,'Wikia | Gehege'!$A:$AL,19,FALSE)+(($S107-1)*$H107),0)</f>
        <v>0</v>
      </c>
      <c r="W107" s="85">
        <f>IFERROR(VLOOKUP($A107,'Wikia | Gehege'!$A:$AL,20,FALSE)+(($S107-1)*$I107),0)</f>
        <v>0</v>
      </c>
      <c r="X107" s="87"/>
    </row>
    <row r="108" spans="1:24" ht="35.1" customHeight="1" x14ac:dyDescent="0.2">
      <c r="A108" s="140" t="str">
        <f>'Wikia | Gehege'!A108</f>
        <v>Rotfuchs</v>
      </c>
      <c r="B108" s="35">
        <v>290</v>
      </c>
      <c r="C108" s="36">
        <v>0</v>
      </c>
      <c r="D108" s="36">
        <v>0</v>
      </c>
      <c r="E108" s="37">
        <v>0</v>
      </c>
      <c r="F108" s="35">
        <f>IFERROR(B108-VLOOKUP($A108,'Wikia | Gehege'!$A:$AL,17,FALSE),0)</f>
        <v>40</v>
      </c>
      <c r="G108" s="36">
        <f>IFERROR(C108-VLOOKUP($A108,'Wikia | Gehege'!$A:$AL,18,FALSE),0)</f>
        <v>0</v>
      </c>
      <c r="H108" s="36">
        <f>IFERROR(D108-VLOOKUP($A108,'Wikia | Gehege'!$A:$AL,19,FALSE),0)</f>
        <v>0</v>
      </c>
      <c r="I108" s="37">
        <f>IFERROR(E108-VLOOKUP($A108,'Wikia | Gehege'!$A:$AL,20,FALSE),0)</f>
        <v>0</v>
      </c>
      <c r="J108" s="35">
        <f>IFERROR(IF(VLOOKUP($A108,'Wikia | Gehege'!$A:$AL,26,FALSE)=1,VLOOKUP($A108,'Wikia | Gehege'!$A:$AL,17,FALSE),VLOOKUP($A108,'Wikia | Gehege'!$A:$AL,17,FALSE)+VLOOKUP($A108,'Wikia | Gehege'!$A:$AL,26,FALSE)*($F108)-1*$F108),0)</f>
        <v>250</v>
      </c>
      <c r="K108" s="36">
        <f>IFERROR(IF(VLOOKUP($A108,'Wikia | Gehege'!$A:$AL,26,FALSE)=1,VLOOKUP($A108,'Wikia | Gehege'!$A:$AL,18,FALSE),VLOOKUP($A108,'Wikia | Gehege'!$A:$AL,18,FALSE)+VLOOKUP($A108,'Wikia | Gehege'!$A:$AL,26,FALSE)*($G108)-1*$G108),0)</f>
        <v>0</v>
      </c>
      <c r="L108" s="36">
        <f>IFERROR(IF(VLOOKUP($A108,'Wikia | Gehege'!$A:$AL,26,FALSE)=1,VLOOKUP($A108,'Wikia | Gehege'!$A:$AL,19,FALSE),VLOOKUP($A108,'Wikia | Gehege'!$A:$AL,19,FALSE)+VLOOKUP($A108,'Wikia | Gehege'!$A:$AL,26,FALSE)*($H108)-1*$H108),0)</f>
        <v>0</v>
      </c>
      <c r="M108" s="37">
        <f>IFERROR(IF(VLOOKUP($A108,'Wikia | Gehege'!$A:$AL,26,FALSE)=1,VLOOKUP($A108,'Wikia | Gehege'!$A:$AL,20,FALSE),VLOOKUP($A108,'Wikia | Gehege'!$A:$AL,20,FALSE)+VLOOKUP($A108,'Wikia | Gehege'!$A:$AL,26,FALSE)*($I108)-1*$I108),0)</f>
        <v>0</v>
      </c>
      <c r="N108" s="35">
        <f>IFERROR(IF(VLOOKUP($A108,'Wikia | Gehege'!$A:$AL,27,FALSE)=1,VLOOKUP($A108,'Wikia | Gehege'!$A:$AL,17,FALSE),VLOOKUP($A108,'Wikia | Gehege'!$A:$AL,17,FALSE)+VLOOKUP($A108,'Wikia | Gehege'!$A:$AL,27,FALSE)*($F108)-1*$F108),0)</f>
        <v>770</v>
      </c>
      <c r="O108" s="36">
        <f>IFERROR(IF(VLOOKUP($A108,'Wikia | Gehege'!$A:$AL,27,FALSE)=1,VLOOKUP($A108,'Wikia | Gehege'!$A:$AL,18,FALSE),VLOOKUP($A108,'Wikia | Gehege'!$A:$AL,18,FALSE)+VLOOKUP($A108,'Wikia | Gehege'!$A:$AL,27,FALSE)*($G108)-1*$G108),0)</f>
        <v>0</v>
      </c>
      <c r="P108" s="36">
        <f>IFERROR(IF(VLOOKUP($A108,'Wikia | Gehege'!$A:$AL,27,FALSE)=1,VLOOKUP($A108,'Wikia | Gehege'!$A:$AL,19,FALSE),VLOOKUP($A108,'Wikia | Gehege'!$A:$AL,19,FALSE)+VLOOKUP($A108,'Wikia | Gehege'!$A:$AL,27,FALSE)*($H108)-1*$H108),0)</f>
        <v>0</v>
      </c>
      <c r="Q108" s="37">
        <f>IFERROR(IF(VLOOKUP($A108,'Wikia | Gehege'!$A:$AL,27,FALSE)=1,VLOOKUP($A108,'Wikia | Gehege'!$A:$AL,20,FALSE),VLOOKUP($A108,'Wikia | Gehege'!$A:$AL,20,FALSE)+VLOOKUP($A108,'Wikia | Gehege'!$A:$AL,27,FALSE)*($I108)-1*$I108),0)</f>
        <v>0</v>
      </c>
      <c r="R108" s="87"/>
      <c r="S108" s="94"/>
      <c r="T108" s="38">
        <f>IFERROR(VLOOKUP($A108,'Wikia | Gehege'!$A:$AL,17,FALSE)+(($S108-1)*$F108),0)</f>
        <v>210</v>
      </c>
      <c r="U108" s="38">
        <f>IFERROR(VLOOKUP($A108,'Wikia | Gehege'!$A:$AL,18,FALSE)+(($S108-1)*$G108),0)</f>
        <v>0</v>
      </c>
      <c r="V108" s="38">
        <f>IFERROR(VLOOKUP($A108,'Wikia | Gehege'!$A:$AL,19,FALSE)+(($S108-1)*$H108),0)</f>
        <v>0</v>
      </c>
      <c r="W108" s="85">
        <f>IFERROR(VLOOKUP($A108,'Wikia | Gehege'!$A:$AL,20,FALSE)+(($S108-1)*$I108),0)</f>
        <v>0</v>
      </c>
      <c r="X108" s="87"/>
    </row>
    <row r="109" spans="1:24" ht="35.1" customHeight="1" x14ac:dyDescent="0.2">
      <c r="A109" s="140" t="str">
        <f>'Wikia | Gehege'!A109</f>
        <v>Rothirsch</v>
      </c>
      <c r="B109" s="35">
        <v>405</v>
      </c>
      <c r="C109" s="36">
        <v>0</v>
      </c>
      <c r="D109" s="36">
        <v>0</v>
      </c>
      <c r="E109" s="37">
        <v>0</v>
      </c>
      <c r="F109" s="35">
        <f>IFERROR(B109-VLOOKUP($A109,'Wikia | Gehege'!$A:$AL,17,FALSE),0)</f>
        <v>45</v>
      </c>
      <c r="G109" s="36">
        <f>IFERROR(C109-VLOOKUP($A109,'Wikia | Gehege'!$A:$AL,18,FALSE),0)</f>
        <v>0</v>
      </c>
      <c r="H109" s="36">
        <f>IFERROR(D109-VLOOKUP($A109,'Wikia | Gehege'!$A:$AL,19,FALSE),0)</f>
        <v>0</v>
      </c>
      <c r="I109" s="37">
        <f>IFERROR(E109-VLOOKUP($A109,'Wikia | Gehege'!$A:$AL,20,FALSE),0)</f>
        <v>0</v>
      </c>
      <c r="J109" s="35">
        <f>IFERROR(IF(VLOOKUP($A109,'Wikia | Gehege'!$A:$AL,26,FALSE)=1,VLOOKUP($A109,'Wikia | Gehege'!$A:$AL,17,FALSE),VLOOKUP($A109,'Wikia | Gehege'!$A:$AL,17,FALSE)+VLOOKUP($A109,'Wikia | Gehege'!$A:$AL,26,FALSE)*($F109)-1*$F109),0)</f>
        <v>450</v>
      </c>
      <c r="K109" s="36">
        <f>IFERROR(IF(VLOOKUP($A109,'Wikia | Gehege'!$A:$AL,26,FALSE)=1,VLOOKUP($A109,'Wikia | Gehege'!$A:$AL,18,FALSE),VLOOKUP($A109,'Wikia | Gehege'!$A:$AL,18,FALSE)+VLOOKUP($A109,'Wikia | Gehege'!$A:$AL,26,FALSE)*($G109)-1*$G109),0)</f>
        <v>0</v>
      </c>
      <c r="L109" s="36">
        <f>IFERROR(IF(VLOOKUP($A109,'Wikia | Gehege'!$A:$AL,26,FALSE)=1,VLOOKUP($A109,'Wikia | Gehege'!$A:$AL,19,FALSE),VLOOKUP($A109,'Wikia | Gehege'!$A:$AL,19,FALSE)+VLOOKUP($A109,'Wikia | Gehege'!$A:$AL,26,FALSE)*($H109)-1*$H109),0)</f>
        <v>0</v>
      </c>
      <c r="M109" s="37">
        <f>IFERROR(IF(VLOOKUP($A109,'Wikia | Gehege'!$A:$AL,26,FALSE)=1,VLOOKUP($A109,'Wikia | Gehege'!$A:$AL,20,FALSE),VLOOKUP($A109,'Wikia | Gehege'!$A:$AL,20,FALSE)+VLOOKUP($A109,'Wikia | Gehege'!$A:$AL,26,FALSE)*($I109)-1*$I109),0)</f>
        <v>0</v>
      </c>
      <c r="N109" s="35">
        <f>IFERROR(IF(VLOOKUP($A109,'Wikia | Gehege'!$A:$AL,27,FALSE)=1,VLOOKUP($A109,'Wikia | Gehege'!$A:$AL,17,FALSE),VLOOKUP($A109,'Wikia | Gehege'!$A:$AL,17,FALSE)+VLOOKUP($A109,'Wikia | Gehege'!$A:$AL,27,FALSE)*($F109)-1*$F109),0)</f>
        <v>720</v>
      </c>
      <c r="O109" s="36">
        <f>IFERROR(IF(VLOOKUP($A109,'Wikia | Gehege'!$A:$AL,27,FALSE)=1,VLOOKUP($A109,'Wikia | Gehege'!$A:$AL,18,FALSE),VLOOKUP($A109,'Wikia | Gehege'!$A:$AL,18,FALSE)+VLOOKUP($A109,'Wikia | Gehege'!$A:$AL,27,FALSE)*($G109)-1*$G109),0)</f>
        <v>0</v>
      </c>
      <c r="P109" s="36">
        <f>IFERROR(IF(VLOOKUP($A109,'Wikia | Gehege'!$A:$AL,27,FALSE)=1,VLOOKUP($A109,'Wikia | Gehege'!$A:$AL,19,FALSE),VLOOKUP($A109,'Wikia | Gehege'!$A:$AL,19,FALSE)+VLOOKUP($A109,'Wikia | Gehege'!$A:$AL,27,FALSE)*($H109)-1*$H109),0)</f>
        <v>0</v>
      </c>
      <c r="Q109" s="37">
        <f>IFERROR(IF(VLOOKUP($A109,'Wikia | Gehege'!$A:$AL,27,FALSE)=1,VLOOKUP($A109,'Wikia | Gehege'!$A:$AL,20,FALSE),VLOOKUP($A109,'Wikia | Gehege'!$A:$AL,20,FALSE)+VLOOKUP($A109,'Wikia | Gehege'!$A:$AL,27,FALSE)*($I109)-1*$I109),0)</f>
        <v>0</v>
      </c>
      <c r="R109" s="87"/>
      <c r="S109" s="94"/>
      <c r="T109" s="38">
        <f>IFERROR(VLOOKUP($A109,'Wikia | Gehege'!$A:$AL,17,FALSE)+(($S109-1)*$F109),0)</f>
        <v>315</v>
      </c>
      <c r="U109" s="38">
        <f>IFERROR(VLOOKUP($A109,'Wikia | Gehege'!$A:$AL,18,FALSE)+(($S109-1)*$G109),0)</f>
        <v>0</v>
      </c>
      <c r="V109" s="38">
        <f>IFERROR(VLOOKUP($A109,'Wikia | Gehege'!$A:$AL,19,FALSE)+(($S109-1)*$H109),0)</f>
        <v>0</v>
      </c>
      <c r="W109" s="85">
        <f>IFERROR(VLOOKUP($A109,'Wikia | Gehege'!$A:$AL,20,FALSE)+(($S109-1)*$I109),0)</f>
        <v>0</v>
      </c>
      <c r="X109" s="87"/>
    </row>
    <row r="110" spans="1:24" ht="35.1" customHeight="1" x14ac:dyDescent="0.2">
      <c r="A110" s="140" t="str">
        <f>'Wikia | Gehege'!A110</f>
        <v xml:space="preserve">Rothund </v>
      </c>
      <c r="B110" s="35">
        <v>1254</v>
      </c>
      <c r="C110" s="36">
        <v>0</v>
      </c>
      <c r="D110" s="36">
        <v>0</v>
      </c>
      <c r="E110" s="37">
        <v>0</v>
      </c>
      <c r="F110" s="35">
        <f>IFERROR(B110-VLOOKUP($A110,'Wikia | Gehege'!$A:$AL,17,FALSE),0)</f>
        <v>92</v>
      </c>
      <c r="G110" s="36">
        <f>IFERROR(C110-VLOOKUP($A110,'Wikia | Gehege'!$A:$AL,18,FALSE),0)</f>
        <v>0</v>
      </c>
      <c r="H110" s="36">
        <f>IFERROR(D110-VLOOKUP($A110,'Wikia | Gehege'!$A:$AL,19,FALSE),0)</f>
        <v>0</v>
      </c>
      <c r="I110" s="37">
        <f>IFERROR(E110-VLOOKUP($A110,'Wikia | Gehege'!$A:$AL,20,FALSE),0)</f>
        <v>0</v>
      </c>
      <c r="J110" s="35">
        <f>IFERROR(IF(VLOOKUP($A110,'Wikia | Gehege'!$A:$AL,26,FALSE)=1,VLOOKUP($A110,'Wikia | Gehege'!$A:$AL,17,FALSE),VLOOKUP($A110,'Wikia | Gehege'!$A:$AL,17,FALSE)+VLOOKUP($A110,'Wikia | Gehege'!$A:$AL,26,FALSE)*($F110)-1*$F110),0)</f>
        <v>1254</v>
      </c>
      <c r="K110" s="36">
        <f>IFERROR(IF(VLOOKUP($A110,'Wikia | Gehege'!$A:$AL,26,FALSE)=1,VLOOKUP($A110,'Wikia | Gehege'!$A:$AL,18,FALSE),VLOOKUP($A110,'Wikia | Gehege'!$A:$AL,18,FALSE)+VLOOKUP($A110,'Wikia | Gehege'!$A:$AL,26,FALSE)*($G110)-1*$G110),0)</f>
        <v>0</v>
      </c>
      <c r="L110" s="36">
        <f>IFERROR(IF(VLOOKUP($A110,'Wikia | Gehege'!$A:$AL,26,FALSE)=1,VLOOKUP($A110,'Wikia | Gehege'!$A:$AL,19,FALSE),VLOOKUP($A110,'Wikia | Gehege'!$A:$AL,19,FALSE)+VLOOKUP($A110,'Wikia | Gehege'!$A:$AL,26,FALSE)*($H110)-1*$H110),0)</f>
        <v>0</v>
      </c>
      <c r="M110" s="37">
        <f>IFERROR(IF(VLOOKUP($A110,'Wikia | Gehege'!$A:$AL,26,FALSE)=1,VLOOKUP($A110,'Wikia | Gehege'!$A:$AL,20,FALSE),VLOOKUP($A110,'Wikia | Gehege'!$A:$AL,20,FALSE)+VLOOKUP($A110,'Wikia | Gehege'!$A:$AL,26,FALSE)*($I110)-1*$I110),0)</f>
        <v>0</v>
      </c>
      <c r="N110" s="35">
        <f>IFERROR(IF(VLOOKUP($A110,'Wikia | Gehege'!$A:$AL,27,FALSE)=1,VLOOKUP($A110,'Wikia | Gehege'!$A:$AL,17,FALSE),VLOOKUP($A110,'Wikia | Gehege'!$A:$AL,17,FALSE)+VLOOKUP($A110,'Wikia | Gehege'!$A:$AL,27,FALSE)*($F110)-1*$F110),0)</f>
        <v>3370</v>
      </c>
      <c r="O110" s="36">
        <f>IFERROR(IF(VLOOKUP($A110,'Wikia | Gehege'!$A:$AL,27,FALSE)=1,VLOOKUP($A110,'Wikia | Gehege'!$A:$AL,18,FALSE),VLOOKUP($A110,'Wikia | Gehege'!$A:$AL,18,FALSE)+VLOOKUP($A110,'Wikia | Gehege'!$A:$AL,27,FALSE)*($G110)-1*$G110),0)</f>
        <v>0</v>
      </c>
      <c r="P110" s="36">
        <f>IFERROR(IF(VLOOKUP($A110,'Wikia | Gehege'!$A:$AL,27,FALSE)=1,VLOOKUP($A110,'Wikia | Gehege'!$A:$AL,19,FALSE),VLOOKUP($A110,'Wikia | Gehege'!$A:$AL,19,FALSE)+VLOOKUP($A110,'Wikia | Gehege'!$A:$AL,27,FALSE)*($H110)-1*$H110),0)</f>
        <v>0</v>
      </c>
      <c r="Q110" s="37">
        <f>IFERROR(IF(VLOOKUP($A110,'Wikia | Gehege'!$A:$AL,27,FALSE)=1,VLOOKUP($A110,'Wikia | Gehege'!$A:$AL,20,FALSE),VLOOKUP($A110,'Wikia | Gehege'!$A:$AL,20,FALSE)+VLOOKUP($A110,'Wikia | Gehege'!$A:$AL,27,FALSE)*($I110)-1*$I110),0)</f>
        <v>0</v>
      </c>
      <c r="R110" s="87"/>
      <c r="S110" s="94"/>
      <c r="T110" s="38">
        <f>IFERROR(VLOOKUP($A110,'Wikia | Gehege'!$A:$AL,17,FALSE)+(($S110-1)*$F110),0)</f>
        <v>1070</v>
      </c>
      <c r="U110" s="38">
        <f>IFERROR(VLOOKUP($A110,'Wikia | Gehege'!$A:$AL,18,FALSE)+(($S110-1)*$G110),0)</f>
        <v>0</v>
      </c>
      <c r="V110" s="38">
        <f>IFERROR(VLOOKUP($A110,'Wikia | Gehege'!$A:$AL,19,FALSE)+(($S110-1)*$H110),0)</f>
        <v>0</v>
      </c>
      <c r="W110" s="85">
        <f>IFERROR(VLOOKUP($A110,'Wikia | Gehege'!$A:$AL,20,FALSE)+(($S110-1)*$I110),0)</f>
        <v>0</v>
      </c>
      <c r="X110" s="87"/>
    </row>
    <row r="111" spans="1:24" ht="35.1" customHeight="1" x14ac:dyDescent="0.2">
      <c r="A111" s="140" t="str">
        <f>'Wikia | Gehege'!A111</f>
        <v>Rotnackenwallaby</v>
      </c>
      <c r="B111" s="35">
        <v>295</v>
      </c>
      <c r="C111" s="36">
        <v>0</v>
      </c>
      <c r="D111" s="36">
        <v>0</v>
      </c>
      <c r="E111" s="37">
        <v>0</v>
      </c>
      <c r="F111" s="35">
        <f>IFERROR(B111-VLOOKUP($A111,'Wikia | Gehege'!$A:$AL,17,FALSE),0)</f>
        <v>45</v>
      </c>
      <c r="G111" s="36">
        <f>IFERROR(C111-VLOOKUP($A111,'Wikia | Gehege'!$A:$AL,18,FALSE),0)</f>
        <v>0</v>
      </c>
      <c r="H111" s="36">
        <f>IFERROR(D111-VLOOKUP($A111,'Wikia | Gehege'!$A:$AL,19,FALSE),0)</f>
        <v>0</v>
      </c>
      <c r="I111" s="37">
        <f>IFERROR(E111-VLOOKUP($A111,'Wikia | Gehege'!$A:$AL,20,FALSE),0)</f>
        <v>0</v>
      </c>
      <c r="J111" s="35">
        <f>IFERROR(IF(VLOOKUP($A111,'Wikia | Gehege'!$A:$AL,26,FALSE)=1,VLOOKUP($A111,'Wikia | Gehege'!$A:$AL,17,FALSE),VLOOKUP($A111,'Wikia | Gehege'!$A:$AL,17,FALSE)+VLOOKUP($A111,'Wikia | Gehege'!$A:$AL,26,FALSE)*($F111)-1*$F111),0)</f>
        <v>250</v>
      </c>
      <c r="K111" s="36">
        <f>IFERROR(IF(VLOOKUP($A111,'Wikia | Gehege'!$A:$AL,26,FALSE)=1,VLOOKUP($A111,'Wikia | Gehege'!$A:$AL,18,FALSE),VLOOKUP($A111,'Wikia | Gehege'!$A:$AL,18,FALSE)+VLOOKUP($A111,'Wikia | Gehege'!$A:$AL,26,FALSE)*($G111)-1*$G111),0)</f>
        <v>0</v>
      </c>
      <c r="L111" s="36">
        <f>IFERROR(IF(VLOOKUP($A111,'Wikia | Gehege'!$A:$AL,26,FALSE)=1,VLOOKUP($A111,'Wikia | Gehege'!$A:$AL,19,FALSE),VLOOKUP($A111,'Wikia | Gehege'!$A:$AL,19,FALSE)+VLOOKUP($A111,'Wikia | Gehege'!$A:$AL,26,FALSE)*($H111)-1*$H111),0)</f>
        <v>0</v>
      </c>
      <c r="M111" s="37">
        <f>IFERROR(IF(VLOOKUP($A111,'Wikia | Gehege'!$A:$AL,26,FALSE)=1,VLOOKUP($A111,'Wikia | Gehege'!$A:$AL,20,FALSE),VLOOKUP($A111,'Wikia | Gehege'!$A:$AL,20,FALSE)+VLOOKUP($A111,'Wikia | Gehege'!$A:$AL,26,FALSE)*($I111)-1*$I111),0)</f>
        <v>0</v>
      </c>
      <c r="N111" s="35">
        <f>IFERROR(IF(VLOOKUP($A111,'Wikia | Gehege'!$A:$AL,27,FALSE)=1,VLOOKUP($A111,'Wikia | Gehege'!$A:$AL,17,FALSE),VLOOKUP($A111,'Wikia | Gehege'!$A:$AL,17,FALSE)+VLOOKUP($A111,'Wikia | Gehege'!$A:$AL,27,FALSE)*($F111)-1*$F111),0)</f>
        <v>1555</v>
      </c>
      <c r="O111" s="36">
        <f>IFERROR(IF(VLOOKUP($A111,'Wikia | Gehege'!$A:$AL,27,FALSE)=1,VLOOKUP($A111,'Wikia | Gehege'!$A:$AL,18,FALSE),VLOOKUP($A111,'Wikia | Gehege'!$A:$AL,18,FALSE)+VLOOKUP($A111,'Wikia | Gehege'!$A:$AL,27,FALSE)*($G111)-1*$G111),0)</f>
        <v>0</v>
      </c>
      <c r="P111" s="36">
        <f>IFERROR(IF(VLOOKUP($A111,'Wikia | Gehege'!$A:$AL,27,FALSE)=1,VLOOKUP($A111,'Wikia | Gehege'!$A:$AL,19,FALSE),VLOOKUP($A111,'Wikia | Gehege'!$A:$AL,19,FALSE)+VLOOKUP($A111,'Wikia | Gehege'!$A:$AL,27,FALSE)*($H111)-1*$H111),0)</f>
        <v>0</v>
      </c>
      <c r="Q111" s="37">
        <f>IFERROR(IF(VLOOKUP($A111,'Wikia | Gehege'!$A:$AL,27,FALSE)=1,VLOOKUP($A111,'Wikia | Gehege'!$A:$AL,20,FALSE),VLOOKUP($A111,'Wikia | Gehege'!$A:$AL,20,FALSE)+VLOOKUP($A111,'Wikia | Gehege'!$A:$AL,27,FALSE)*($I111)-1*$I111),0)</f>
        <v>0</v>
      </c>
      <c r="R111" s="87"/>
      <c r="S111" s="94"/>
      <c r="T111" s="38">
        <f>IFERROR(VLOOKUP($A111,'Wikia | Gehege'!$A:$AL,17,FALSE)+(($S111-1)*$F111),0)</f>
        <v>205</v>
      </c>
      <c r="U111" s="38">
        <f>IFERROR(VLOOKUP($A111,'Wikia | Gehege'!$A:$AL,18,FALSE)+(($S111-1)*$G111),0)</f>
        <v>0</v>
      </c>
      <c r="V111" s="38">
        <f>IFERROR(VLOOKUP($A111,'Wikia | Gehege'!$A:$AL,19,FALSE)+(($S111-1)*$H111),0)</f>
        <v>0</v>
      </c>
      <c r="W111" s="85">
        <f>IFERROR(VLOOKUP($A111,'Wikia | Gehege'!$A:$AL,20,FALSE)+(($S111-1)*$I111),0)</f>
        <v>0</v>
      </c>
      <c r="X111" s="87"/>
    </row>
    <row r="112" spans="1:24" ht="35.1" customHeight="1" x14ac:dyDescent="0.2">
      <c r="A112" s="140" t="str">
        <f>'Wikia | Gehege'!A112</f>
        <v>Säbelantilope</v>
      </c>
      <c r="B112" s="35">
        <v>310</v>
      </c>
      <c r="C112" s="36">
        <v>0</v>
      </c>
      <c r="D112" s="36">
        <v>0</v>
      </c>
      <c r="E112" s="37">
        <v>0</v>
      </c>
      <c r="F112" s="35">
        <f>IFERROR(B112-VLOOKUP($A112,'Wikia | Gehege'!$A:$AL,17,FALSE),0)</f>
        <v>40</v>
      </c>
      <c r="G112" s="36">
        <f>IFERROR(C112-VLOOKUP($A112,'Wikia | Gehege'!$A:$AL,18,FALSE),0)</f>
        <v>0</v>
      </c>
      <c r="H112" s="36">
        <f>IFERROR(D112-VLOOKUP($A112,'Wikia | Gehege'!$A:$AL,19,FALSE),0)</f>
        <v>0</v>
      </c>
      <c r="I112" s="37">
        <f>IFERROR(E112-VLOOKUP($A112,'Wikia | Gehege'!$A:$AL,20,FALSE),0)</f>
        <v>0</v>
      </c>
      <c r="J112" s="35">
        <f>IFERROR(IF(VLOOKUP($A112,'Wikia | Gehege'!$A:$AL,26,FALSE)=1,VLOOKUP($A112,'Wikia | Gehege'!$A:$AL,17,FALSE),VLOOKUP($A112,'Wikia | Gehege'!$A:$AL,17,FALSE)+VLOOKUP($A112,'Wikia | Gehege'!$A:$AL,26,FALSE)*($F112)-1*$F112),0)</f>
        <v>350</v>
      </c>
      <c r="K112" s="36">
        <f>IFERROR(IF(VLOOKUP($A112,'Wikia | Gehege'!$A:$AL,26,FALSE)=1,VLOOKUP($A112,'Wikia | Gehege'!$A:$AL,18,FALSE),VLOOKUP($A112,'Wikia | Gehege'!$A:$AL,18,FALSE)+VLOOKUP($A112,'Wikia | Gehege'!$A:$AL,26,FALSE)*($G112)-1*$G112),0)</f>
        <v>0</v>
      </c>
      <c r="L112" s="36">
        <f>IFERROR(IF(VLOOKUP($A112,'Wikia | Gehege'!$A:$AL,26,FALSE)=1,VLOOKUP($A112,'Wikia | Gehege'!$A:$AL,19,FALSE),VLOOKUP($A112,'Wikia | Gehege'!$A:$AL,19,FALSE)+VLOOKUP($A112,'Wikia | Gehege'!$A:$AL,26,FALSE)*($H112)-1*$H112),0)</f>
        <v>0</v>
      </c>
      <c r="M112" s="37">
        <f>IFERROR(IF(VLOOKUP($A112,'Wikia | Gehege'!$A:$AL,26,FALSE)=1,VLOOKUP($A112,'Wikia | Gehege'!$A:$AL,20,FALSE),VLOOKUP($A112,'Wikia | Gehege'!$A:$AL,20,FALSE)+VLOOKUP($A112,'Wikia | Gehege'!$A:$AL,26,FALSE)*($I112)-1*$I112),0)</f>
        <v>0</v>
      </c>
      <c r="N112" s="35">
        <f>IFERROR(IF(VLOOKUP($A112,'Wikia | Gehege'!$A:$AL,27,FALSE)=1,VLOOKUP($A112,'Wikia | Gehege'!$A:$AL,17,FALSE),VLOOKUP($A112,'Wikia | Gehege'!$A:$AL,17,FALSE)+VLOOKUP($A112,'Wikia | Gehege'!$A:$AL,27,FALSE)*($F112)-1*$F112),0)</f>
        <v>1830</v>
      </c>
      <c r="O112" s="36">
        <f>IFERROR(IF(VLOOKUP($A112,'Wikia | Gehege'!$A:$AL,27,FALSE)=1,VLOOKUP($A112,'Wikia | Gehege'!$A:$AL,18,FALSE),VLOOKUP($A112,'Wikia | Gehege'!$A:$AL,18,FALSE)+VLOOKUP($A112,'Wikia | Gehege'!$A:$AL,27,FALSE)*($G112)-1*$G112),0)</f>
        <v>0</v>
      </c>
      <c r="P112" s="36">
        <f>IFERROR(IF(VLOOKUP($A112,'Wikia | Gehege'!$A:$AL,27,FALSE)=1,VLOOKUP($A112,'Wikia | Gehege'!$A:$AL,19,FALSE),VLOOKUP($A112,'Wikia | Gehege'!$A:$AL,19,FALSE)+VLOOKUP($A112,'Wikia | Gehege'!$A:$AL,27,FALSE)*($H112)-1*$H112),0)</f>
        <v>0</v>
      </c>
      <c r="Q112" s="37">
        <f>IFERROR(IF(VLOOKUP($A112,'Wikia | Gehege'!$A:$AL,27,FALSE)=1,VLOOKUP($A112,'Wikia | Gehege'!$A:$AL,20,FALSE),VLOOKUP($A112,'Wikia | Gehege'!$A:$AL,20,FALSE)+VLOOKUP($A112,'Wikia | Gehege'!$A:$AL,27,FALSE)*($I112)-1*$I112),0)</f>
        <v>0</v>
      </c>
      <c r="R112" s="87"/>
      <c r="S112" s="94"/>
      <c r="T112" s="38">
        <f>IFERROR(VLOOKUP($A112,'Wikia | Gehege'!$A:$AL,17,FALSE)+(($S112-1)*$F112),0)</f>
        <v>230</v>
      </c>
      <c r="U112" s="38">
        <f>IFERROR(VLOOKUP($A112,'Wikia | Gehege'!$A:$AL,18,FALSE)+(($S112-1)*$G112),0)</f>
        <v>0</v>
      </c>
      <c r="V112" s="38">
        <f>IFERROR(VLOOKUP($A112,'Wikia | Gehege'!$A:$AL,19,FALSE)+(($S112-1)*$H112),0)</f>
        <v>0</v>
      </c>
      <c r="W112" s="85">
        <f>IFERROR(VLOOKUP($A112,'Wikia | Gehege'!$A:$AL,20,FALSE)+(($S112-1)*$I112),0)</f>
        <v>0</v>
      </c>
      <c r="X112" s="87"/>
    </row>
    <row r="113" spans="1:24" ht="35.1" customHeight="1" x14ac:dyDescent="0.2">
      <c r="A113" s="140" t="str">
        <f>'Wikia | Gehege'!A113</f>
        <v>Saiga</v>
      </c>
      <c r="B113" s="35">
        <v>465</v>
      </c>
      <c r="C113" s="36">
        <v>0</v>
      </c>
      <c r="D113" s="36">
        <v>0</v>
      </c>
      <c r="E113" s="37">
        <v>0</v>
      </c>
      <c r="F113" s="35">
        <f>IFERROR(B113-VLOOKUP($A113,'Wikia | Gehege'!$A:$AL,17,FALSE),0)</f>
        <v>40</v>
      </c>
      <c r="G113" s="36">
        <f>IFERROR(C113-VLOOKUP($A113,'Wikia | Gehege'!$A:$AL,18,FALSE),0)</f>
        <v>0</v>
      </c>
      <c r="H113" s="36">
        <f>IFERROR(D113-VLOOKUP($A113,'Wikia | Gehege'!$A:$AL,19,FALSE),0)</f>
        <v>0</v>
      </c>
      <c r="I113" s="37">
        <f>IFERROR(E113-VLOOKUP($A113,'Wikia | Gehege'!$A:$AL,20,FALSE),0)</f>
        <v>0</v>
      </c>
      <c r="J113" s="35">
        <f>IFERROR(IF(VLOOKUP($A113,'Wikia | Gehege'!$A:$AL,26,FALSE)=1,VLOOKUP($A113,'Wikia | Gehege'!$A:$AL,17,FALSE),VLOOKUP($A113,'Wikia | Gehege'!$A:$AL,17,FALSE)+VLOOKUP($A113,'Wikia | Gehege'!$A:$AL,26,FALSE)*($F113)-1*$F113),0)</f>
        <v>545</v>
      </c>
      <c r="K113" s="36">
        <f>IFERROR(IF(VLOOKUP($A113,'Wikia | Gehege'!$A:$AL,26,FALSE)=1,VLOOKUP($A113,'Wikia | Gehege'!$A:$AL,18,FALSE),VLOOKUP($A113,'Wikia | Gehege'!$A:$AL,18,FALSE)+VLOOKUP($A113,'Wikia | Gehege'!$A:$AL,26,FALSE)*($G113)-1*$G113),0)</f>
        <v>0</v>
      </c>
      <c r="L113" s="36">
        <f>IFERROR(IF(VLOOKUP($A113,'Wikia | Gehege'!$A:$AL,26,FALSE)=1,VLOOKUP($A113,'Wikia | Gehege'!$A:$AL,19,FALSE),VLOOKUP($A113,'Wikia | Gehege'!$A:$AL,19,FALSE)+VLOOKUP($A113,'Wikia | Gehege'!$A:$AL,26,FALSE)*($H113)-1*$H113),0)</f>
        <v>0</v>
      </c>
      <c r="M113" s="37">
        <f>IFERROR(IF(VLOOKUP($A113,'Wikia | Gehege'!$A:$AL,26,FALSE)=1,VLOOKUP($A113,'Wikia | Gehege'!$A:$AL,20,FALSE),VLOOKUP($A113,'Wikia | Gehege'!$A:$AL,20,FALSE)+VLOOKUP($A113,'Wikia | Gehege'!$A:$AL,26,FALSE)*($I113)-1*$I113),0)</f>
        <v>0</v>
      </c>
      <c r="N113" s="35">
        <f>IFERROR(IF(VLOOKUP($A113,'Wikia | Gehege'!$A:$AL,27,FALSE)=1,VLOOKUP($A113,'Wikia | Gehege'!$A:$AL,17,FALSE),VLOOKUP($A113,'Wikia | Gehege'!$A:$AL,17,FALSE)+VLOOKUP($A113,'Wikia | Gehege'!$A:$AL,27,FALSE)*($F113)-1*$F113),0)</f>
        <v>825</v>
      </c>
      <c r="O113" s="36">
        <f>IFERROR(IF(VLOOKUP($A113,'Wikia | Gehege'!$A:$AL,27,FALSE)=1,VLOOKUP($A113,'Wikia | Gehege'!$A:$AL,18,FALSE),VLOOKUP($A113,'Wikia | Gehege'!$A:$AL,18,FALSE)+VLOOKUP($A113,'Wikia | Gehege'!$A:$AL,27,FALSE)*($G113)-1*$G113),0)</f>
        <v>0</v>
      </c>
      <c r="P113" s="36">
        <f>IFERROR(IF(VLOOKUP($A113,'Wikia | Gehege'!$A:$AL,27,FALSE)=1,VLOOKUP($A113,'Wikia | Gehege'!$A:$AL,19,FALSE),VLOOKUP($A113,'Wikia | Gehege'!$A:$AL,19,FALSE)+VLOOKUP($A113,'Wikia | Gehege'!$A:$AL,27,FALSE)*($H113)-1*$H113),0)</f>
        <v>0</v>
      </c>
      <c r="Q113" s="37">
        <f>IFERROR(IF(VLOOKUP($A113,'Wikia | Gehege'!$A:$AL,27,FALSE)=1,VLOOKUP($A113,'Wikia | Gehege'!$A:$AL,20,FALSE),VLOOKUP($A113,'Wikia | Gehege'!$A:$AL,20,FALSE)+VLOOKUP($A113,'Wikia | Gehege'!$A:$AL,27,FALSE)*($I113)-1*$I113),0)</f>
        <v>0</v>
      </c>
      <c r="R113" s="87"/>
      <c r="S113" s="94"/>
      <c r="T113" s="38">
        <f>IFERROR(VLOOKUP($A113,'Wikia | Gehege'!$A:$AL,17,FALSE)+(($S113-1)*$F113),0)</f>
        <v>385</v>
      </c>
      <c r="U113" s="38">
        <f>IFERROR(VLOOKUP($A113,'Wikia | Gehege'!$A:$AL,18,FALSE)+(($S113-1)*$G113),0)</f>
        <v>0</v>
      </c>
      <c r="V113" s="38">
        <f>IFERROR(VLOOKUP($A113,'Wikia | Gehege'!$A:$AL,19,FALSE)+(($S113-1)*$H113),0)</f>
        <v>0</v>
      </c>
      <c r="W113" s="85">
        <f>IFERROR(VLOOKUP($A113,'Wikia | Gehege'!$A:$AL,20,FALSE)+(($S113-1)*$I113),0)</f>
        <v>0</v>
      </c>
      <c r="X113" s="87"/>
    </row>
    <row r="114" spans="1:24" ht="35.1" customHeight="1" x14ac:dyDescent="0.2">
      <c r="A114" s="140" t="str">
        <f>'Wikia | Gehege'!A114</f>
        <v>Sandkatze</v>
      </c>
      <c r="B114" s="35">
        <v>264</v>
      </c>
      <c r="C114" s="36">
        <v>0</v>
      </c>
      <c r="D114" s="36">
        <v>0</v>
      </c>
      <c r="E114" s="37">
        <v>0</v>
      </c>
      <c r="F114" s="35">
        <f>IFERROR(B114-VLOOKUP($A114,'Wikia | Gehege'!$A:$AL,17,FALSE),0)</f>
        <v>64</v>
      </c>
      <c r="G114" s="36">
        <f>IFERROR(C114-VLOOKUP($A114,'Wikia | Gehege'!$A:$AL,18,FALSE),0)</f>
        <v>0</v>
      </c>
      <c r="H114" s="36">
        <f>IFERROR(D114-VLOOKUP($A114,'Wikia | Gehege'!$A:$AL,19,FALSE),0)</f>
        <v>0</v>
      </c>
      <c r="I114" s="37">
        <f>IFERROR(E114-VLOOKUP($A114,'Wikia | Gehege'!$A:$AL,20,FALSE),0)</f>
        <v>0</v>
      </c>
      <c r="J114" s="35">
        <f>IFERROR(IF(VLOOKUP($A114,'Wikia | Gehege'!$A:$AL,26,FALSE)=1,VLOOKUP($A114,'Wikia | Gehege'!$A:$AL,17,FALSE),VLOOKUP($A114,'Wikia | Gehege'!$A:$AL,17,FALSE)+VLOOKUP($A114,'Wikia | Gehege'!$A:$AL,26,FALSE)*($F114)-1*$F114),0)</f>
        <v>200</v>
      </c>
      <c r="K114" s="36">
        <f>IFERROR(IF(VLOOKUP($A114,'Wikia | Gehege'!$A:$AL,26,FALSE)=1,VLOOKUP($A114,'Wikia | Gehege'!$A:$AL,18,FALSE),VLOOKUP($A114,'Wikia | Gehege'!$A:$AL,18,FALSE)+VLOOKUP($A114,'Wikia | Gehege'!$A:$AL,26,FALSE)*($G114)-1*$G114),0)</f>
        <v>0</v>
      </c>
      <c r="L114" s="36">
        <f>IFERROR(IF(VLOOKUP($A114,'Wikia | Gehege'!$A:$AL,26,FALSE)=1,VLOOKUP($A114,'Wikia | Gehege'!$A:$AL,19,FALSE),VLOOKUP($A114,'Wikia | Gehege'!$A:$AL,19,FALSE)+VLOOKUP($A114,'Wikia | Gehege'!$A:$AL,26,FALSE)*($H114)-1*$H114),0)</f>
        <v>0</v>
      </c>
      <c r="M114" s="37">
        <f>IFERROR(IF(VLOOKUP($A114,'Wikia | Gehege'!$A:$AL,26,FALSE)=1,VLOOKUP($A114,'Wikia | Gehege'!$A:$AL,20,FALSE),VLOOKUP($A114,'Wikia | Gehege'!$A:$AL,20,FALSE)+VLOOKUP($A114,'Wikia | Gehege'!$A:$AL,26,FALSE)*($I114)-1*$I114),0)</f>
        <v>0</v>
      </c>
      <c r="N114" s="35">
        <f>IFERROR(IF(VLOOKUP($A114,'Wikia | Gehege'!$A:$AL,27,FALSE)=1,VLOOKUP($A114,'Wikia | Gehege'!$A:$AL,17,FALSE),VLOOKUP($A114,'Wikia | Gehege'!$A:$AL,17,FALSE)+VLOOKUP($A114,'Wikia | Gehege'!$A:$AL,27,FALSE)*($F114)-1*$F114),0)</f>
        <v>264</v>
      </c>
      <c r="O114" s="36">
        <f>IFERROR(IF(VLOOKUP($A114,'Wikia | Gehege'!$A:$AL,27,FALSE)=1,VLOOKUP($A114,'Wikia | Gehege'!$A:$AL,18,FALSE),VLOOKUP($A114,'Wikia | Gehege'!$A:$AL,18,FALSE)+VLOOKUP($A114,'Wikia | Gehege'!$A:$AL,27,FALSE)*($G114)-1*$G114),0)</f>
        <v>0</v>
      </c>
      <c r="P114" s="36">
        <f>IFERROR(IF(VLOOKUP($A114,'Wikia | Gehege'!$A:$AL,27,FALSE)=1,VLOOKUP($A114,'Wikia | Gehege'!$A:$AL,19,FALSE),VLOOKUP($A114,'Wikia | Gehege'!$A:$AL,19,FALSE)+VLOOKUP($A114,'Wikia | Gehege'!$A:$AL,27,FALSE)*($H114)-1*$H114),0)</f>
        <v>0</v>
      </c>
      <c r="Q114" s="37">
        <f>IFERROR(IF(VLOOKUP($A114,'Wikia | Gehege'!$A:$AL,27,FALSE)=1,VLOOKUP($A114,'Wikia | Gehege'!$A:$AL,20,FALSE),VLOOKUP($A114,'Wikia | Gehege'!$A:$AL,20,FALSE)+VLOOKUP($A114,'Wikia | Gehege'!$A:$AL,27,FALSE)*($I114)-1*$I114),0)</f>
        <v>0</v>
      </c>
      <c r="R114" s="87"/>
      <c r="S114" s="94"/>
      <c r="T114" s="38">
        <f>IFERROR(VLOOKUP($A114,'Wikia | Gehege'!$A:$AL,17,FALSE)+(($S114-1)*$F114),0)</f>
        <v>136</v>
      </c>
      <c r="U114" s="38">
        <f>IFERROR(VLOOKUP($A114,'Wikia | Gehege'!$A:$AL,18,FALSE)+(($S114-1)*$G114),0)</f>
        <v>0</v>
      </c>
      <c r="V114" s="38">
        <f>IFERROR(VLOOKUP($A114,'Wikia | Gehege'!$A:$AL,19,FALSE)+(($S114-1)*$H114),0)</f>
        <v>0</v>
      </c>
      <c r="W114" s="85">
        <f>IFERROR(VLOOKUP($A114,'Wikia | Gehege'!$A:$AL,20,FALSE)+(($S114-1)*$I114),0)</f>
        <v>0</v>
      </c>
      <c r="X114" s="87"/>
    </row>
    <row r="115" spans="1:24" ht="35.1" customHeight="1" x14ac:dyDescent="0.2">
      <c r="A115" s="140" t="str">
        <f>'Wikia | Gehege'!A115</f>
        <v>Schnabeltier</v>
      </c>
      <c r="B115" s="35">
        <v>210</v>
      </c>
      <c r="C115" s="36">
        <v>0</v>
      </c>
      <c r="D115" s="36">
        <v>105</v>
      </c>
      <c r="E115" s="37">
        <v>53</v>
      </c>
      <c r="F115" s="35">
        <f>IFERROR(B115-VLOOKUP($A115,'Wikia | Gehege'!$A:$AL,17,FALSE),0)</f>
        <v>30</v>
      </c>
      <c r="G115" s="36">
        <f>IFERROR(C115-VLOOKUP($A115,'Wikia | Gehege'!$A:$AL,18,FALSE),0)</f>
        <v>0</v>
      </c>
      <c r="H115" s="36">
        <f>IFERROR(D115-VLOOKUP($A115,'Wikia | Gehege'!$A:$AL,19,FALSE),0)</f>
        <v>15</v>
      </c>
      <c r="I115" s="37">
        <f>IFERROR(E115-VLOOKUP($A115,'Wikia | Gehege'!$A:$AL,20,FALSE),0)</f>
        <v>8</v>
      </c>
      <c r="J115" s="35">
        <f>IFERROR(IF(VLOOKUP($A115,'Wikia | Gehege'!$A:$AL,26,FALSE)=1,VLOOKUP($A115,'Wikia | Gehege'!$A:$AL,17,FALSE),VLOOKUP($A115,'Wikia | Gehege'!$A:$AL,17,FALSE)+VLOOKUP($A115,'Wikia | Gehege'!$A:$AL,26,FALSE)*($F115)-1*$F115),0)</f>
        <v>180</v>
      </c>
      <c r="K115" s="36">
        <f>IFERROR(IF(VLOOKUP($A115,'Wikia | Gehege'!$A:$AL,26,FALSE)=1,VLOOKUP($A115,'Wikia | Gehege'!$A:$AL,18,FALSE),VLOOKUP($A115,'Wikia | Gehege'!$A:$AL,18,FALSE)+VLOOKUP($A115,'Wikia | Gehege'!$A:$AL,26,FALSE)*($G115)-1*$G115),0)</f>
        <v>0</v>
      </c>
      <c r="L115" s="36">
        <f>IFERROR(IF(VLOOKUP($A115,'Wikia | Gehege'!$A:$AL,26,FALSE)=1,VLOOKUP($A115,'Wikia | Gehege'!$A:$AL,19,FALSE),VLOOKUP($A115,'Wikia | Gehege'!$A:$AL,19,FALSE)+VLOOKUP($A115,'Wikia | Gehege'!$A:$AL,26,FALSE)*($H115)-1*$H115),0)</f>
        <v>90</v>
      </c>
      <c r="M115" s="37">
        <f>IFERROR(IF(VLOOKUP($A115,'Wikia | Gehege'!$A:$AL,26,FALSE)=1,VLOOKUP($A115,'Wikia | Gehege'!$A:$AL,20,FALSE),VLOOKUP($A115,'Wikia | Gehege'!$A:$AL,20,FALSE)+VLOOKUP($A115,'Wikia | Gehege'!$A:$AL,26,FALSE)*($I115)-1*$I115),0)</f>
        <v>45</v>
      </c>
      <c r="N115" s="35">
        <f>IFERROR(IF(VLOOKUP($A115,'Wikia | Gehege'!$A:$AL,27,FALSE)=1,VLOOKUP($A115,'Wikia | Gehege'!$A:$AL,17,FALSE),VLOOKUP($A115,'Wikia | Gehege'!$A:$AL,17,FALSE)+VLOOKUP($A115,'Wikia | Gehege'!$A:$AL,27,FALSE)*($F115)-1*$F115),0)</f>
        <v>240</v>
      </c>
      <c r="O115" s="36">
        <f>IFERROR(IF(VLOOKUP($A115,'Wikia | Gehege'!$A:$AL,27,FALSE)=1,VLOOKUP($A115,'Wikia | Gehege'!$A:$AL,18,FALSE),VLOOKUP($A115,'Wikia | Gehege'!$A:$AL,18,FALSE)+VLOOKUP($A115,'Wikia | Gehege'!$A:$AL,27,FALSE)*($G115)-1*$G115),0)</f>
        <v>0</v>
      </c>
      <c r="P115" s="36">
        <f>IFERROR(IF(VLOOKUP($A115,'Wikia | Gehege'!$A:$AL,27,FALSE)=1,VLOOKUP($A115,'Wikia | Gehege'!$A:$AL,19,FALSE),VLOOKUP($A115,'Wikia | Gehege'!$A:$AL,19,FALSE)+VLOOKUP($A115,'Wikia | Gehege'!$A:$AL,27,FALSE)*($H115)-1*$H115),0)</f>
        <v>120</v>
      </c>
      <c r="Q115" s="37">
        <f>IFERROR(IF(VLOOKUP($A115,'Wikia | Gehege'!$A:$AL,27,FALSE)=1,VLOOKUP($A115,'Wikia | Gehege'!$A:$AL,20,FALSE),VLOOKUP($A115,'Wikia | Gehege'!$A:$AL,20,FALSE)+VLOOKUP($A115,'Wikia | Gehege'!$A:$AL,27,FALSE)*($I115)-1*$I115),0)</f>
        <v>61</v>
      </c>
      <c r="R115" s="87"/>
      <c r="S115" s="94"/>
      <c r="T115" s="38">
        <f>IFERROR(VLOOKUP($A115,'Wikia | Gehege'!$A:$AL,17,FALSE)+(($S115-1)*$F115),0)</f>
        <v>150</v>
      </c>
      <c r="U115" s="38">
        <f>IFERROR(VLOOKUP($A115,'Wikia | Gehege'!$A:$AL,18,FALSE)+(($S115-1)*$G115),0)</f>
        <v>0</v>
      </c>
      <c r="V115" s="38">
        <f>IFERROR(VLOOKUP($A115,'Wikia | Gehege'!$A:$AL,19,FALSE)+(($S115-1)*$H115),0)</f>
        <v>75</v>
      </c>
      <c r="W115" s="85">
        <f>IFERROR(VLOOKUP($A115,'Wikia | Gehege'!$A:$AL,20,FALSE)+(($S115-1)*$I115),0)</f>
        <v>37</v>
      </c>
      <c r="X115" s="87"/>
    </row>
    <row r="116" spans="1:24" ht="35.1" customHeight="1" x14ac:dyDescent="0.2">
      <c r="A116" s="140" t="str">
        <f>'Wikia | Gehege'!A116</f>
        <v xml:space="preserve">Schneeleopard </v>
      </c>
      <c r="B116" s="35">
        <v>816</v>
      </c>
      <c r="C116" s="36">
        <v>0</v>
      </c>
      <c r="D116" s="36">
        <v>0</v>
      </c>
      <c r="E116" s="37">
        <v>0</v>
      </c>
      <c r="F116" s="35">
        <f>IFERROR(B116-VLOOKUP($A116,'Wikia | Gehege'!$A:$AL,17,FALSE),0)</f>
        <v>111</v>
      </c>
      <c r="G116" s="36">
        <f>IFERROR(C116-VLOOKUP($A116,'Wikia | Gehege'!$A:$AL,18,FALSE),0)</f>
        <v>0</v>
      </c>
      <c r="H116" s="36">
        <f>IFERROR(D116-VLOOKUP($A116,'Wikia | Gehege'!$A:$AL,19,FALSE),0)</f>
        <v>0</v>
      </c>
      <c r="I116" s="37">
        <f>IFERROR(E116-VLOOKUP($A116,'Wikia | Gehege'!$A:$AL,20,FALSE),0)</f>
        <v>0</v>
      </c>
      <c r="J116" s="35">
        <f>IFERROR(IF(VLOOKUP($A116,'Wikia | Gehege'!$A:$AL,26,FALSE)=1,VLOOKUP($A116,'Wikia | Gehege'!$A:$AL,17,FALSE),VLOOKUP($A116,'Wikia | Gehege'!$A:$AL,17,FALSE)+VLOOKUP($A116,'Wikia | Gehege'!$A:$AL,26,FALSE)*($F116)-1*$F116),0)</f>
        <v>705</v>
      </c>
      <c r="K116" s="36">
        <f>IFERROR(IF(VLOOKUP($A116,'Wikia | Gehege'!$A:$AL,26,FALSE)=1,VLOOKUP($A116,'Wikia | Gehege'!$A:$AL,18,FALSE),VLOOKUP($A116,'Wikia | Gehege'!$A:$AL,18,FALSE)+VLOOKUP($A116,'Wikia | Gehege'!$A:$AL,26,FALSE)*($G116)-1*$G116),0)</f>
        <v>0</v>
      </c>
      <c r="L116" s="36">
        <f>IFERROR(IF(VLOOKUP($A116,'Wikia | Gehege'!$A:$AL,26,FALSE)=1,VLOOKUP($A116,'Wikia | Gehege'!$A:$AL,19,FALSE),VLOOKUP($A116,'Wikia | Gehege'!$A:$AL,19,FALSE)+VLOOKUP($A116,'Wikia | Gehege'!$A:$AL,26,FALSE)*($H116)-1*$H116),0)</f>
        <v>0</v>
      </c>
      <c r="M116" s="37">
        <f>IFERROR(IF(VLOOKUP($A116,'Wikia | Gehege'!$A:$AL,26,FALSE)=1,VLOOKUP($A116,'Wikia | Gehege'!$A:$AL,20,FALSE),VLOOKUP($A116,'Wikia | Gehege'!$A:$AL,20,FALSE)+VLOOKUP($A116,'Wikia | Gehege'!$A:$AL,26,FALSE)*($I116)-1*$I116),0)</f>
        <v>0</v>
      </c>
      <c r="N116" s="35">
        <f>IFERROR(IF(VLOOKUP($A116,'Wikia | Gehege'!$A:$AL,27,FALSE)=1,VLOOKUP($A116,'Wikia | Gehege'!$A:$AL,17,FALSE),VLOOKUP($A116,'Wikia | Gehege'!$A:$AL,17,FALSE)+VLOOKUP($A116,'Wikia | Gehege'!$A:$AL,27,FALSE)*($F116)-1*$F116),0)</f>
        <v>816</v>
      </c>
      <c r="O116" s="36">
        <f>IFERROR(IF(VLOOKUP($A116,'Wikia | Gehege'!$A:$AL,27,FALSE)=1,VLOOKUP($A116,'Wikia | Gehege'!$A:$AL,18,FALSE),VLOOKUP($A116,'Wikia | Gehege'!$A:$AL,18,FALSE)+VLOOKUP($A116,'Wikia | Gehege'!$A:$AL,27,FALSE)*($G116)-1*$G116),0)</f>
        <v>0</v>
      </c>
      <c r="P116" s="36">
        <f>IFERROR(IF(VLOOKUP($A116,'Wikia | Gehege'!$A:$AL,27,FALSE)=1,VLOOKUP($A116,'Wikia | Gehege'!$A:$AL,19,FALSE),VLOOKUP($A116,'Wikia | Gehege'!$A:$AL,19,FALSE)+VLOOKUP($A116,'Wikia | Gehege'!$A:$AL,27,FALSE)*($H116)-1*$H116),0)</f>
        <v>0</v>
      </c>
      <c r="Q116" s="37">
        <f>IFERROR(IF(VLOOKUP($A116,'Wikia | Gehege'!$A:$AL,27,FALSE)=1,VLOOKUP($A116,'Wikia | Gehege'!$A:$AL,20,FALSE),VLOOKUP($A116,'Wikia | Gehege'!$A:$AL,20,FALSE)+VLOOKUP($A116,'Wikia | Gehege'!$A:$AL,27,FALSE)*($I116)-1*$I116),0)</f>
        <v>0</v>
      </c>
      <c r="R116" s="87"/>
      <c r="S116" s="94"/>
      <c r="T116" s="38">
        <f>IFERROR(VLOOKUP($A116,'Wikia | Gehege'!$A:$AL,17,FALSE)+(($S116-1)*$F116),0)</f>
        <v>594</v>
      </c>
      <c r="U116" s="38">
        <f>IFERROR(VLOOKUP($A116,'Wikia | Gehege'!$A:$AL,18,FALSE)+(($S116-1)*$G116),0)</f>
        <v>0</v>
      </c>
      <c r="V116" s="38">
        <f>IFERROR(VLOOKUP($A116,'Wikia | Gehege'!$A:$AL,19,FALSE)+(($S116-1)*$H116),0)</f>
        <v>0</v>
      </c>
      <c r="W116" s="85">
        <f>IFERROR(VLOOKUP($A116,'Wikia | Gehege'!$A:$AL,20,FALSE)+(($S116-1)*$I116),0)</f>
        <v>0</v>
      </c>
      <c r="X116" s="87"/>
    </row>
    <row r="117" spans="1:24" ht="35.1" customHeight="1" x14ac:dyDescent="0.2">
      <c r="A117" s="140" t="str">
        <f>'Wikia | Gehege'!A117</f>
        <v>Schraubenziege</v>
      </c>
      <c r="B117" s="35">
        <v>450</v>
      </c>
      <c r="C117" s="36">
        <v>0</v>
      </c>
      <c r="D117" s="36">
        <v>0</v>
      </c>
      <c r="E117" s="37">
        <v>0</v>
      </c>
      <c r="F117" s="35">
        <f>IFERROR(B117-VLOOKUP($A117,'Wikia | Gehege'!$A:$AL,17,FALSE),0)</f>
        <v>60</v>
      </c>
      <c r="G117" s="36">
        <f>IFERROR(C117-VLOOKUP($A117,'Wikia | Gehege'!$A:$AL,18,FALSE),0)</f>
        <v>0</v>
      </c>
      <c r="H117" s="36">
        <f>IFERROR(D117-VLOOKUP($A117,'Wikia | Gehege'!$A:$AL,19,FALSE),0)</f>
        <v>0</v>
      </c>
      <c r="I117" s="37">
        <f>IFERROR(E117-VLOOKUP($A117,'Wikia | Gehege'!$A:$AL,20,FALSE),0)</f>
        <v>0</v>
      </c>
      <c r="J117" s="35">
        <f>IFERROR(IF(VLOOKUP($A117,'Wikia | Gehege'!$A:$AL,26,FALSE)=1,VLOOKUP($A117,'Wikia | Gehege'!$A:$AL,17,FALSE),VLOOKUP($A117,'Wikia | Gehege'!$A:$AL,17,FALSE)+VLOOKUP($A117,'Wikia | Gehege'!$A:$AL,26,FALSE)*($F117)-1*$F117),0)</f>
        <v>450</v>
      </c>
      <c r="K117" s="36">
        <f>IFERROR(IF(VLOOKUP($A117,'Wikia | Gehege'!$A:$AL,26,FALSE)=1,VLOOKUP($A117,'Wikia | Gehege'!$A:$AL,18,FALSE),VLOOKUP($A117,'Wikia | Gehege'!$A:$AL,18,FALSE)+VLOOKUP($A117,'Wikia | Gehege'!$A:$AL,26,FALSE)*($G117)-1*$G117),0)</f>
        <v>0</v>
      </c>
      <c r="L117" s="36">
        <f>IFERROR(IF(VLOOKUP($A117,'Wikia | Gehege'!$A:$AL,26,FALSE)=1,VLOOKUP($A117,'Wikia | Gehege'!$A:$AL,19,FALSE),VLOOKUP($A117,'Wikia | Gehege'!$A:$AL,19,FALSE)+VLOOKUP($A117,'Wikia | Gehege'!$A:$AL,26,FALSE)*($H117)-1*$H117),0)</f>
        <v>0</v>
      </c>
      <c r="M117" s="37">
        <f>IFERROR(IF(VLOOKUP($A117,'Wikia | Gehege'!$A:$AL,26,FALSE)=1,VLOOKUP($A117,'Wikia | Gehege'!$A:$AL,20,FALSE),VLOOKUP($A117,'Wikia | Gehege'!$A:$AL,20,FALSE)+VLOOKUP($A117,'Wikia | Gehege'!$A:$AL,26,FALSE)*($I117)-1*$I117),0)</f>
        <v>0</v>
      </c>
      <c r="N117" s="35">
        <f>IFERROR(IF(VLOOKUP($A117,'Wikia | Gehege'!$A:$AL,27,FALSE)=1,VLOOKUP($A117,'Wikia | Gehege'!$A:$AL,17,FALSE),VLOOKUP($A117,'Wikia | Gehege'!$A:$AL,17,FALSE)+VLOOKUP($A117,'Wikia | Gehege'!$A:$AL,27,FALSE)*($F117)-1*$F117),0)</f>
        <v>1050</v>
      </c>
      <c r="O117" s="36">
        <f>IFERROR(IF(VLOOKUP($A117,'Wikia | Gehege'!$A:$AL,27,FALSE)=1,VLOOKUP($A117,'Wikia | Gehege'!$A:$AL,18,FALSE),VLOOKUP($A117,'Wikia | Gehege'!$A:$AL,18,FALSE)+VLOOKUP($A117,'Wikia | Gehege'!$A:$AL,27,FALSE)*($G117)-1*$G117),0)</f>
        <v>0</v>
      </c>
      <c r="P117" s="36">
        <f>IFERROR(IF(VLOOKUP($A117,'Wikia | Gehege'!$A:$AL,27,FALSE)=1,VLOOKUP($A117,'Wikia | Gehege'!$A:$AL,19,FALSE),VLOOKUP($A117,'Wikia | Gehege'!$A:$AL,19,FALSE)+VLOOKUP($A117,'Wikia | Gehege'!$A:$AL,27,FALSE)*($H117)-1*$H117),0)</f>
        <v>0</v>
      </c>
      <c r="Q117" s="37">
        <f>IFERROR(IF(VLOOKUP($A117,'Wikia | Gehege'!$A:$AL,27,FALSE)=1,VLOOKUP($A117,'Wikia | Gehege'!$A:$AL,20,FALSE),VLOOKUP($A117,'Wikia | Gehege'!$A:$AL,20,FALSE)+VLOOKUP($A117,'Wikia | Gehege'!$A:$AL,27,FALSE)*($I117)-1*$I117),0)</f>
        <v>0</v>
      </c>
      <c r="R117" s="87"/>
      <c r="S117" s="94"/>
      <c r="T117" s="38">
        <f>IFERROR(VLOOKUP($A117,'Wikia | Gehege'!$A:$AL,17,FALSE)+(($S117-1)*$F117),0)</f>
        <v>330</v>
      </c>
      <c r="U117" s="38">
        <f>IFERROR(VLOOKUP($A117,'Wikia | Gehege'!$A:$AL,18,FALSE)+(($S117-1)*$G117),0)</f>
        <v>0</v>
      </c>
      <c r="V117" s="38">
        <f>IFERROR(VLOOKUP($A117,'Wikia | Gehege'!$A:$AL,19,FALSE)+(($S117-1)*$H117),0)</f>
        <v>0</v>
      </c>
      <c r="W117" s="85">
        <f>IFERROR(VLOOKUP($A117,'Wikia | Gehege'!$A:$AL,20,FALSE)+(($S117-1)*$I117),0)</f>
        <v>0</v>
      </c>
      <c r="X117" s="87"/>
    </row>
    <row r="118" spans="1:24" ht="35.1" customHeight="1" x14ac:dyDescent="0.2">
      <c r="A118" s="140" t="str">
        <f>'Wikia | Gehege'!A118</f>
        <v>Schwarzschwanz-Präriehund</v>
      </c>
      <c r="B118" s="35">
        <v>192</v>
      </c>
      <c r="C118" s="36">
        <v>0</v>
      </c>
      <c r="D118" s="36">
        <v>0</v>
      </c>
      <c r="E118" s="37">
        <v>0</v>
      </c>
      <c r="F118" s="35">
        <f>IFERROR(B118-VLOOKUP($A118,'Wikia | Gehege'!$A:$AL,17,FALSE),0)</f>
        <v>12</v>
      </c>
      <c r="G118" s="36">
        <f>IFERROR(C118-VLOOKUP($A118,'Wikia | Gehege'!$A:$AL,18,FALSE),0)</f>
        <v>0</v>
      </c>
      <c r="H118" s="36">
        <f>IFERROR(D118-VLOOKUP($A118,'Wikia | Gehege'!$A:$AL,19,FALSE),0)</f>
        <v>0</v>
      </c>
      <c r="I118" s="37">
        <f>IFERROR(E118-VLOOKUP($A118,'Wikia | Gehege'!$A:$AL,20,FALSE),0)</f>
        <v>0</v>
      </c>
      <c r="J118" s="35">
        <f>IFERROR(IF(VLOOKUP($A118,'Wikia | Gehege'!$A:$AL,26,FALSE)=1,VLOOKUP($A118,'Wikia | Gehege'!$A:$AL,17,FALSE),VLOOKUP($A118,'Wikia | Gehege'!$A:$AL,17,FALSE)+VLOOKUP($A118,'Wikia | Gehege'!$A:$AL,26,FALSE)*($F118)-1*$F118),0)</f>
        <v>192</v>
      </c>
      <c r="K118" s="36">
        <f>IFERROR(IF(VLOOKUP($A118,'Wikia | Gehege'!$A:$AL,26,FALSE)=1,VLOOKUP($A118,'Wikia | Gehege'!$A:$AL,18,FALSE),VLOOKUP($A118,'Wikia | Gehege'!$A:$AL,18,FALSE)+VLOOKUP($A118,'Wikia | Gehege'!$A:$AL,26,FALSE)*($G118)-1*$G118),0)</f>
        <v>0</v>
      </c>
      <c r="L118" s="36">
        <f>IFERROR(IF(VLOOKUP($A118,'Wikia | Gehege'!$A:$AL,26,FALSE)=1,VLOOKUP($A118,'Wikia | Gehege'!$A:$AL,19,FALSE),VLOOKUP($A118,'Wikia | Gehege'!$A:$AL,19,FALSE)+VLOOKUP($A118,'Wikia | Gehege'!$A:$AL,26,FALSE)*($H118)-1*$H118),0)</f>
        <v>0</v>
      </c>
      <c r="M118" s="37">
        <f>IFERROR(IF(VLOOKUP($A118,'Wikia | Gehege'!$A:$AL,26,FALSE)=1,VLOOKUP($A118,'Wikia | Gehege'!$A:$AL,20,FALSE),VLOOKUP($A118,'Wikia | Gehege'!$A:$AL,20,FALSE)+VLOOKUP($A118,'Wikia | Gehege'!$A:$AL,26,FALSE)*($I118)-1*$I118),0)</f>
        <v>0</v>
      </c>
      <c r="N118" s="35">
        <f>IFERROR(IF(VLOOKUP($A118,'Wikia | Gehege'!$A:$AL,27,FALSE)=1,VLOOKUP($A118,'Wikia | Gehege'!$A:$AL,17,FALSE),VLOOKUP($A118,'Wikia | Gehege'!$A:$AL,17,FALSE)+VLOOKUP($A118,'Wikia | Gehege'!$A:$AL,27,FALSE)*($F118)-1*$F118),0)</f>
        <v>312</v>
      </c>
      <c r="O118" s="36">
        <f>IFERROR(IF(VLOOKUP($A118,'Wikia | Gehege'!$A:$AL,27,FALSE)=1,VLOOKUP($A118,'Wikia | Gehege'!$A:$AL,18,FALSE),VLOOKUP($A118,'Wikia | Gehege'!$A:$AL,18,FALSE)+VLOOKUP($A118,'Wikia | Gehege'!$A:$AL,27,FALSE)*($G118)-1*$G118),0)</f>
        <v>0</v>
      </c>
      <c r="P118" s="36">
        <f>IFERROR(IF(VLOOKUP($A118,'Wikia | Gehege'!$A:$AL,27,FALSE)=1,VLOOKUP($A118,'Wikia | Gehege'!$A:$AL,19,FALSE),VLOOKUP($A118,'Wikia | Gehege'!$A:$AL,19,FALSE)+VLOOKUP($A118,'Wikia | Gehege'!$A:$AL,27,FALSE)*($H118)-1*$H118),0)</f>
        <v>0</v>
      </c>
      <c r="Q118" s="37">
        <f>IFERROR(IF(VLOOKUP($A118,'Wikia | Gehege'!$A:$AL,27,FALSE)=1,VLOOKUP($A118,'Wikia | Gehege'!$A:$AL,20,FALSE),VLOOKUP($A118,'Wikia | Gehege'!$A:$AL,20,FALSE)+VLOOKUP($A118,'Wikia | Gehege'!$A:$AL,27,FALSE)*($I118)-1*$I118),0)</f>
        <v>0</v>
      </c>
      <c r="R118" s="87"/>
      <c r="S118" s="94"/>
      <c r="T118" s="38">
        <f>IFERROR(VLOOKUP($A118,'Wikia | Gehege'!$A:$AL,17,FALSE)+(($S118-1)*$F118),0)</f>
        <v>168</v>
      </c>
      <c r="U118" s="38">
        <f>IFERROR(VLOOKUP($A118,'Wikia | Gehege'!$A:$AL,18,FALSE)+(($S118-1)*$G118),0)</f>
        <v>0</v>
      </c>
      <c r="V118" s="38">
        <f>IFERROR(VLOOKUP($A118,'Wikia | Gehege'!$A:$AL,19,FALSE)+(($S118-1)*$H118),0)</f>
        <v>0</v>
      </c>
      <c r="W118" s="85">
        <f>IFERROR(VLOOKUP($A118,'Wikia | Gehege'!$A:$AL,20,FALSE)+(($S118-1)*$I118),0)</f>
        <v>0</v>
      </c>
      <c r="X118" s="87"/>
    </row>
    <row r="119" spans="1:24" ht="35.1" customHeight="1" x14ac:dyDescent="0.2">
      <c r="A119" s="140" t="str">
        <f>'Wikia | Gehege'!A119</f>
        <v>Schwarzweißer Vari</v>
      </c>
      <c r="B119" s="35">
        <v>218</v>
      </c>
      <c r="C119" s="36">
        <v>24</v>
      </c>
      <c r="D119" s="36">
        <v>0</v>
      </c>
      <c r="E119" s="37">
        <v>0</v>
      </c>
      <c r="F119" s="35">
        <f>IFERROR(B119-VLOOKUP($A119,'Wikia | Gehege'!$A:$AL,17,FALSE),0)</f>
        <v>8</v>
      </c>
      <c r="G119" s="36">
        <f>IFERROR(C119-VLOOKUP($A119,'Wikia | Gehege'!$A:$AL,18,FALSE),0)</f>
        <v>4</v>
      </c>
      <c r="H119" s="36">
        <f>IFERROR(D119-VLOOKUP($A119,'Wikia | Gehege'!$A:$AL,19,FALSE),0)</f>
        <v>0</v>
      </c>
      <c r="I119" s="37">
        <f>IFERROR(E119-VLOOKUP($A119,'Wikia | Gehege'!$A:$AL,20,FALSE),0)</f>
        <v>0</v>
      </c>
      <c r="J119" s="35">
        <f>IFERROR(IF(VLOOKUP($A119,'Wikia | Gehege'!$A:$AL,26,FALSE)=1,VLOOKUP($A119,'Wikia | Gehege'!$A:$AL,17,FALSE),VLOOKUP($A119,'Wikia | Gehege'!$A:$AL,17,FALSE)+VLOOKUP($A119,'Wikia | Gehege'!$A:$AL,26,FALSE)*($F119)-1*$F119),0)</f>
        <v>218</v>
      </c>
      <c r="K119" s="36">
        <f>IFERROR(IF(VLOOKUP($A119,'Wikia | Gehege'!$A:$AL,26,FALSE)=1,VLOOKUP($A119,'Wikia | Gehege'!$A:$AL,18,FALSE),VLOOKUP($A119,'Wikia | Gehege'!$A:$AL,18,FALSE)+VLOOKUP($A119,'Wikia | Gehege'!$A:$AL,26,FALSE)*($G119)-1*$G119),0)</f>
        <v>24</v>
      </c>
      <c r="L119" s="36">
        <f>IFERROR(IF(VLOOKUP($A119,'Wikia | Gehege'!$A:$AL,26,FALSE)=1,VLOOKUP($A119,'Wikia | Gehege'!$A:$AL,19,FALSE),VLOOKUP($A119,'Wikia | Gehege'!$A:$AL,19,FALSE)+VLOOKUP($A119,'Wikia | Gehege'!$A:$AL,26,FALSE)*($H119)-1*$H119),0)</f>
        <v>0</v>
      </c>
      <c r="M119" s="37">
        <f>IFERROR(IF(VLOOKUP($A119,'Wikia | Gehege'!$A:$AL,26,FALSE)=1,VLOOKUP($A119,'Wikia | Gehege'!$A:$AL,20,FALSE),VLOOKUP($A119,'Wikia | Gehege'!$A:$AL,20,FALSE)+VLOOKUP($A119,'Wikia | Gehege'!$A:$AL,26,FALSE)*($I119)-1*$I119),0)</f>
        <v>0</v>
      </c>
      <c r="N119" s="35">
        <f>IFERROR(IF(VLOOKUP($A119,'Wikia | Gehege'!$A:$AL,27,FALSE)=1,VLOOKUP($A119,'Wikia | Gehege'!$A:$AL,17,FALSE),VLOOKUP($A119,'Wikia | Gehege'!$A:$AL,17,FALSE)+VLOOKUP($A119,'Wikia | Gehege'!$A:$AL,27,FALSE)*($F119)-1*$F119),0)</f>
        <v>330</v>
      </c>
      <c r="O119" s="36">
        <f>IFERROR(IF(VLOOKUP($A119,'Wikia | Gehege'!$A:$AL,27,FALSE)=1,VLOOKUP($A119,'Wikia | Gehege'!$A:$AL,18,FALSE),VLOOKUP($A119,'Wikia | Gehege'!$A:$AL,18,FALSE)+VLOOKUP($A119,'Wikia | Gehege'!$A:$AL,27,FALSE)*($G119)-1*$G119),0)</f>
        <v>80</v>
      </c>
      <c r="P119" s="36">
        <f>IFERROR(IF(VLOOKUP($A119,'Wikia | Gehege'!$A:$AL,27,FALSE)=1,VLOOKUP($A119,'Wikia | Gehege'!$A:$AL,19,FALSE),VLOOKUP($A119,'Wikia | Gehege'!$A:$AL,19,FALSE)+VLOOKUP($A119,'Wikia | Gehege'!$A:$AL,27,FALSE)*($H119)-1*$H119),0)</f>
        <v>0</v>
      </c>
      <c r="Q119" s="37">
        <f>IFERROR(IF(VLOOKUP($A119,'Wikia | Gehege'!$A:$AL,27,FALSE)=1,VLOOKUP($A119,'Wikia | Gehege'!$A:$AL,20,FALSE),VLOOKUP($A119,'Wikia | Gehege'!$A:$AL,20,FALSE)+VLOOKUP($A119,'Wikia | Gehege'!$A:$AL,27,FALSE)*($I119)-1*$I119),0)</f>
        <v>0</v>
      </c>
      <c r="R119" s="87"/>
      <c r="S119" s="94"/>
      <c r="T119" s="38">
        <f>IFERROR(VLOOKUP($A119,'Wikia | Gehege'!$A:$AL,17,FALSE)+(($S119-1)*$F119),0)</f>
        <v>202</v>
      </c>
      <c r="U119" s="38">
        <f>IFERROR(VLOOKUP($A119,'Wikia | Gehege'!$A:$AL,18,FALSE)+(($S119-1)*$G119),0)</f>
        <v>16</v>
      </c>
      <c r="V119" s="38">
        <f>IFERROR(VLOOKUP($A119,'Wikia | Gehege'!$A:$AL,19,FALSE)+(($S119-1)*$H119),0)</f>
        <v>0</v>
      </c>
      <c r="W119" s="85">
        <f>IFERROR(VLOOKUP($A119,'Wikia | Gehege'!$A:$AL,20,FALSE)+(($S119-1)*$I119),0)</f>
        <v>0</v>
      </c>
      <c r="X119" s="87"/>
    </row>
    <row r="120" spans="1:24" ht="35.1" customHeight="1" x14ac:dyDescent="0.2">
      <c r="A120" s="140" t="str">
        <f>'Wikia | Gehege'!A120</f>
        <v>Siamang</v>
      </c>
      <c r="B120" s="35">
        <v>385</v>
      </c>
      <c r="C120" s="36">
        <v>115</v>
      </c>
      <c r="D120" s="36">
        <v>0</v>
      </c>
      <c r="E120" s="37">
        <v>0</v>
      </c>
      <c r="F120" s="35">
        <f>IFERROR(B120-VLOOKUP($A120,'Wikia | Gehege'!$A:$AL,17,FALSE),0)</f>
        <v>80</v>
      </c>
      <c r="G120" s="36">
        <f>IFERROR(C120-VLOOKUP($A120,'Wikia | Gehege'!$A:$AL,18,FALSE),0)</f>
        <v>35</v>
      </c>
      <c r="H120" s="36">
        <f>IFERROR(D120-VLOOKUP($A120,'Wikia | Gehege'!$A:$AL,19,FALSE),0)</f>
        <v>0</v>
      </c>
      <c r="I120" s="37">
        <f>IFERROR(E120-VLOOKUP($A120,'Wikia | Gehege'!$A:$AL,20,FALSE),0)</f>
        <v>0</v>
      </c>
      <c r="J120" s="35">
        <f>IFERROR(IF(VLOOKUP($A120,'Wikia | Gehege'!$A:$AL,26,FALSE)=1,VLOOKUP($A120,'Wikia | Gehege'!$A:$AL,17,FALSE),VLOOKUP($A120,'Wikia | Gehege'!$A:$AL,17,FALSE)+VLOOKUP($A120,'Wikia | Gehege'!$A:$AL,26,FALSE)*($F120)-1*$F120),0)</f>
        <v>385</v>
      </c>
      <c r="K120" s="36">
        <f>IFERROR(IF(VLOOKUP($A120,'Wikia | Gehege'!$A:$AL,26,FALSE)=1,VLOOKUP($A120,'Wikia | Gehege'!$A:$AL,18,FALSE),VLOOKUP($A120,'Wikia | Gehege'!$A:$AL,18,FALSE)+VLOOKUP($A120,'Wikia | Gehege'!$A:$AL,26,FALSE)*($G120)-1*$G120),0)</f>
        <v>115</v>
      </c>
      <c r="L120" s="36">
        <f>IFERROR(IF(VLOOKUP($A120,'Wikia | Gehege'!$A:$AL,26,FALSE)=1,VLOOKUP($A120,'Wikia | Gehege'!$A:$AL,19,FALSE),VLOOKUP($A120,'Wikia | Gehege'!$A:$AL,19,FALSE)+VLOOKUP($A120,'Wikia | Gehege'!$A:$AL,26,FALSE)*($H120)-1*$H120),0)</f>
        <v>0</v>
      </c>
      <c r="M120" s="37">
        <f>IFERROR(IF(VLOOKUP($A120,'Wikia | Gehege'!$A:$AL,26,FALSE)=1,VLOOKUP($A120,'Wikia | Gehege'!$A:$AL,20,FALSE),VLOOKUP($A120,'Wikia | Gehege'!$A:$AL,20,FALSE)+VLOOKUP($A120,'Wikia | Gehege'!$A:$AL,26,FALSE)*($I120)-1*$I120),0)</f>
        <v>0</v>
      </c>
      <c r="N120" s="35">
        <f>IFERROR(IF(VLOOKUP($A120,'Wikia | Gehege'!$A:$AL,27,FALSE)=1,VLOOKUP($A120,'Wikia | Gehege'!$A:$AL,17,FALSE),VLOOKUP($A120,'Wikia | Gehege'!$A:$AL,17,FALSE)+VLOOKUP($A120,'Wikia | Gehege'!$A:$AL,27,FALSE)*($F120)-1*$F120),0)</f>
        <v>705</v>
      </c>
      <c r="O120" s="36">
        <f>IFERROR(IF(VLOOKUP($A120,'Wikia | Gehege'!$A:$AL,27,FALSE)=1,VLOOKUP($A120,'Wikia | Gehege'!$A:$AL,18,FALSE),VLOOKUP($A120,'Wikia | Gehege'!$A:$AL,18,FALSE)+VLOOKUP($A120,'Wikia | Gehege'!$A:$AL,27,FALSE)*($G120)-1*$G120),0)</f>
        <v>255</v>
      </c>
      <c r="P120" s="36">
        <f>IFERROR(IF(VLOOKUP($A120,'Wikia | Gehege'!$A:$AL,27,FALSE)=1,VLOOKUP($A120,'Wikia | Gehege'!$A:$AL,19,FALSE),VLOOKUP($A120,'Wikia | Gehege'!$A:$AL,19,FALSE)+VLOOKUP($A120,'Wikia | Gehege'!$A:$AL,27,FALSE)*($H120)-1*$H120),0)</f>
        <v>0</v>
      </c>
      <c r="Q120" s="37">
        <f>IFERROR(IF(VLOOKUP($A120,'Wikia | Gehege'!$A:$AL,27,FALSE)=1,VLOOKUP($A120,'Wikia | Gehege'!$A:$AL,20,FALSE),VLOOKUP($A120,'Wikia | Gehege'!$A:$AL,20,FALSE)+VLOOKUP($A120,'Wikia | Gehege'!$A:$AL,27,FALSE)*($I120)-1*$I120),0)</f>
        <v>0</v>
      </c>
      <c r="R120" s="87"/>
      <c r="S120" s="94"/>
      <c r="T120" s="38">
        <f>IFERROR(VLOOKUP($A120,'Wikia | Gehege'!$A:$AL,17,FALSE)+(($S120-1)*$F120),0)</f>
        <v>225</v>
      </c>
      <c r="U120" s="38">
        <f>IFERROR(VLOOKUP($A120,'Wikia | Gehege'!$A:$AL,18,FALSE)+(($S120-1)*$G120),0)</f>
        <v>45</v>
      </c>
      <c r="V120" s="38">
        <f>IFERROR(VLOOKUP($A120,'Wikia | Gehege'!$A:$AL,19,FALSE)+(($S120-1)*$H120),0)</f>
        <v>0</v>
      </c>
      <c r="W120" s="85">
        <f>IFERROR(VLOOKUP($A120,'Wikia | Gehege'!$A:$AL,20,FALSE)+(($S120-1)*$I120),0)</f>
        <v>0</v>
      </c>
      <c r="X120" s="87"/>
    </row>
    <row r="121" spans="1:24" ht="35.1" customHeight="1" x14ac:dyDescent="0.2">
      <c r="A121" s="140" t="str">
        <f>'Wikia | Gehege'!A121</f>
        <v xml:space="preserve">Sibirischer Tiger </v>
      </c>
      <c r="B121" s="35">
        <v>816</v>
      </c>
      <c r="C121" s="36">
        <v>0</v>
      </c>
      <c r="D121" s="36">
        <v>0</v>
      </c>
      <c r="E121" s="37">
        <v>0</v>
      </c>
      <c r="F121" s="35">
        <f>IFERROR(B121-VLOOKUP($A121,'Wikia | Gehege'!$A:$AL,17,FALSE),0)</f>
        <v>111</v>
      </c>
      <c r="G121" s="36">
        <f>IFERROR(C121-VLOOKUP($A121,'Wikia | Gehege'!$A:$AL,18,FALSE),0)</f>
        <v>0</v>
      </c>
      <c r="H121" s="36">
        <f>IFERROR(D121-VLOOKUP($A121,'Wikia | Gehege'!$A:$AL,19,FALSE),0)</f>
        <v>0</v>
      </c>
      <c r="I121" s="37">
        <f>IFERROR(E121-VLOOKUP($A121,'Wikia | Gehege'!$A:$AL,20,FALSE),0)</f>
        <v>0</v>
      </c>
      <c r="J121" s="35">
        <f>IFERROR(IF(VLOOKUP($A121,'Wikia | Gehege'!$A:$AL,26,FALSE)=1,VLOOKUP($A121,'Wikia | Gehege'!$A:$AL,17,FALSE),VLOOKUP($A121,'Wikia | Gehege'!$A:$AL,17,FALSE)+VLOOKUP($A121,'Wikia | Gehege'!$A:$AL,26,FALSE)*($F121)-1*$F121),0)</f>
        <v>705</v>
      </c>
      <c r="K121" s="36">
        <f>IFERROR(IF(VLOOKUP($A121,'Wikia | Gehege'!$A:$AL,26,FALSE)=1,VLOOKUP($A121,'Wikia | Gehege'!$A:$AL,18,FALSE),VLOOKUP($A121,'Wikia | Gehege'!$A:$AL,18,FALSE)+VLOOKUP($A121,'Wikia | Gehege'!$A:$AL,26,FALSE)*($G121)-1*$G121),0)</f>
        <v>0</v>
      </c>
      <c r="L121" s="36">
        <f>IFERROR(IF(VLOOKUP($A121,'Wikia | Gehege'!$A:$AL,26,FALSE)=1,VLOOKUP($A121,'Wikia | Gehege'!$A:$AL,19,FALSE),VLOOKUP($A121,'Wikia | Gehege'!$A:$AL,19,FALSE)+VLOOKUP($A121,'Wikia | Gehege'!$A:$AL,26,FALSE)*($H121)-1*$H121),0)</f>
        <v>0</v>
      </c>
      <c r="M121" s="37">
        <f>IFERROR(IF(VLOOKUP($A121,'Wikia | Gehege'!$A:$AL,26,FALSE)=1,VLOOKUP($A121,'Wikia | Gehege'!$A:$AL,20,FALSE),VLOOKUP($A121,'Wikia | Gehege'!$A:$AL,20,FALSE)+VLOOKUP($A121,'Wikia | Gehege'!$A:$AL,26,FALSE)*($I121)-1*$I121),0)</f>
        <v>0</v>
      </c>
      <c r="N121" s="35">
        <f>IFERROR(IF(VLOOKUP($A121,'Wikia | Gehege'!$A:$AL,27,FALSE)=1,VLOOKUP($A121,'Wikia | Gehege'!$A:$AL,17,FALSE),VLOOKUP($A121,'Wikia | Gehege'!$A:$AL,17,FALSE)+VLOOKUP($A121,'Wikia | Gehege'!$A:$AL,27,FALSE)*($F121)-1*$F121),0)</f>
        <v>816</v>
      </c>
      <c r="O121" s="36">
        <f>IFERROR(IF(VLOOKUP($A121,'Wikia | Gehege'!$A:$AL,27,FALSE)=1,VLOOKUP($A121,'Wikia | Gehege'!$A:$AL,18,FALSE),VLOOKUP($A121,'Wikia | Gehege'!$A:$AL,18,FALSE)+VLOOKUP($A121,'Wikia | Gehege'!$A:$AL,27,FALSE)*($G121)-1*$G121),0)</f>
        <v>0</v>
      </c>
      <c r="P121" s="36">
        <f>IFERROR(IF(VLOOKUP($A121,'Wikia | Gehege'!$A:$AL,27,FALSE)=1,VLOOKUP($A121,'Wikia | Gehege'!$A:$AL,19,FALSE),VLOOKUP($A121,'Wikia | Gehege'!$A:$AL,19,FALSE)+VLOOKUP($A121,'Wikia | Gehege'!$A:$AL,27,FALSE)*($H121)-1*$H121),0)</f>
        <v>0</v>
      </c>
      <c r="Q121" s="37">
        <f>IFERROR(IF(VLOOKUP($A121,'Wikia | Gehege'!$A:$AL,27,FALSE)=1,VLOOKUP($A121,'Wikia | Gehege'!$A:$AL,20,FALSE),VLOOKUP($A121,'Wikia | Gehege'!$A:$AL,20,FALSE)+VLOOKUP($A121,'Wikia | Gehege'!$A:$AL,27,FALSE)*($I121)-1*$I121),0)</f>
        <v>0</v>
      </c>
      <c r="R121" s="87"/>
      <c r="S121" s="94"/>
      <c r="T121" s="38">
        <f>IFERROR(VLOOKUP($A121,'Wikia | Gehege'!$A:$AL,17,FALSE)+(($S121-1)*$F121),0)</f>
        <v>594</v>
      </c>
      <c r="U121" s="38">
        <f>IFERROR(VLOOKUP($A121,'Wikia | Gehege'!$A:$AL,18,FALSE)+(($S121-1)*$G121),0)</f>
        <v>0</v>
      </c>
      <c r="V121" s="38">
        <f>IFERROR(VLOOKUP($A121,'Wikia | Gehege'!$A:$AL,19,FALSE)+(($S121-1)*$H121),0)</f>
        <v>0</v>
      </c>
      <c r="W121" s="85">
        <f>IFERROR(VLOOKUP($A121,'Wikia | Gehege'!$A:$AL,20,FALSE)+(($S121-1)*$I121),0)</f>
        <v>0</v>
      </c>
      <c r="X121" s="87"/>
    </row>
    <row r="122" spans="1:24" ht="35.1" customHeight="1" x14ac:dyDescent="0.2">
      <c r="A122" s="140" t="str">
        <f>'Wikia | Gehege'!A122</f>
        <v>Somali-Wildesel</v>
      </c>
      <c r="B122" s="35">
        <v>785</v>
      </c>
      <c r="C122" s="36">
        <v>0</v>
      </c>
      <c r="D122" s="36">
        <v>0</v>
      </c>
      <c r="E122" s="37">
        <v>0</v>
      </c>
      <c r="F122" s="35">
        <f>IFERROR(B122-VLOOKUP($A122,'Wikia | Gehege'!$A:$AL,17,FALSE),0)</f>
        <v>160</v>
      </c>
      <c r="G122" s="36">
        <f>IFERROR(C122-VLOOKUP($A122,'Wikia | Gehege'!$A:$AL,18,FALSE),0)</f>
        <v>0</v>
      </c>
      <c r="H122" s="36">
        <f>IFERROR(D122-VLOOKUP($A122,'Wikia | Gehege'!$A:$AL,19,FALSE),0)</f>
        <v>0</v>
      </c>
      <c r="I122" s="37">
        <f>IFERROR(E122-VLOOKUP($A122,'Wikia | Gehege'!$A:$AL,20,FALSE),0)</f>
        <v>0</v>
      </c>
      <c r="J122" s="35">
        <f>IFERROR(IF(VLOOKUP($A122,'Wikia | Gehege'!$A:$AL,26,FALSE)=1,VLOOKUP($A122,'Wikia | Gehege'!$A:$AL,17,FALSE),VLOOKUP($A122,'Wikia | Gehege'!$A:$AL,17,FALSE)+VLOOKUP($A122,'Wikia | Gehege'!$A:$AL,26,FALSE)*($F122)-1*$F122),0)</f>
        <v>625</v>
      </c>
      <c r="K122" s="36">
        <f>IFERROR(IF(VLOOKUP($A122,'Wikia | Gehege'!$A:$AL,26,FALSE)=1,VLOOKUP($A122,'Wikia | Gehege'!$A:$AL,18,FALSE),VLOOKUP($A122,'Wikia | Gehege'!$A:$AL,18,FALSE)+VLOOKUP($A122,'Wikia | Gehege'!$A:$AL,26,FALSE)*($G122)-1*$G122),0)</f>
        <v>0</v>
      </c>
      <c r="L122" s="36">
        <f>IFERROR(IF(VLOOKUP($A122,'Wikia | Gehege'!$A:$AL,26,FALSE)=1,VLOOKUP($A122,'Wikia | Gehege'!$A:$AL,19,FALSE),VLOOKUP($A122,'Wikia | Gehege'!$A:$AL,19,FALSE)+VLOOKUP($A122,'Wikia | Gehege'!$A:$AL,26,FALSE)*($H122)-1*$H122),0)</f>
        <v>0</v>
      </c>
      <c r="M122" s="37">
        <f>IFERROR(IF(VLOOKUP($A122,'Wikia | Gehege'!$A:$AL,26,FALSE)=1,VLOOKUP($A122,'Wikia | Gehege'!$A:$AL,20,FALSE),VLOOKUP($A122,'Wikia | Gehege'!$A:$AL,20,FALSE)+VLOOKUP($A122,'Wikia | Gehege'!$A:$AL,26,FALSE)*($I122)-1*$I122),0)</f>
        <v>0</v>
      </c>
      <c r="N122" s="35">
        <f>IFERROR(IF(VLOOKUP($A122,'Wikia | Gehege'!$A:$AL,27,FALSE)=1,VLOOKUP($A122,'Wikia | Gehege'!$A:$AL,17,FALSE),VLOOKUP($A122,'Wikia | Gehege'!$A:$AL,17,FALSE)+VLOOKUP($A122,'Wikia | Gehege'!$A:$AL,27,FALSE)*($F122)-1*$F122),0)</f>
        <v>1585</v>
      </c>
      <c r="O122" s="36">
        <f>IFERROR(IF(VLOOKUP($A122,'Wikia | Gehege'!$A:$AL,27,FALSE)=1,VLOOKUP($A122,'Wikia | Gehege'!$A:$AL,18,FALSE),VLOOKUP($A122,'Wikia | Gehege'!$A:$AL,18,FALSE)+VLOOKUP($A122,'Wikia | Gehege'!$A:$AL,27,FALSE)*($G122)-1*$G122),0)</f>
        <v>0</v>
      </c>
      <c r="P122" s="36">
        <f>IFERROR(IF(VLOOKUP($A122,'Wikia | Gehege'!$A:$AL,27,FALSE)=1,VLOOKUP($A122,'Wikia | Gehege'!$A:$AL,19,FALSE),VLOOKUP($A122,'Wikia | Gehege'!$A:$AL,19,FALSE)+VLOOKUP($A122,'Wikia | Gehege'!$A:$AL,27,FALSE)*($H122)-1*$H122),0)</f>
        <v>0</v>
      </c>
      <c r="Q122" s="37">
        <f>IFERROR(IF(VLOOKUP($A122,'Wikia | Gehege'!$A:$AL,27,FALSE)=1,VLOOKUP($A122,'Wikia | Gehege'!$A:$AL,20,FALSE),VLOOKUP($A122,'Wikia | Gehege'!$A:$AL,20,FALSE)+VLOOKUP($A122,'Wikia | Gehege'!$A:$AL,27,FALSE)*($I122)-1*$I122),0)</f>
        <v>0</v>
      </c>
      <c r="R122" s="87"/>
      <c r="S122" s="94"/>
      <c r="T122" s="38">
        <f>IFERROR(VLOOKUP($A122,'Wikia | Gehege'!$A:$AL,17,FALSE)+(($S122-1)*$F122),0)</f>
        <v>465</v>
      </c>
      <c r="U122" s="38">
        <f>IFERROR(VLOOKUP($A122,'Wikia | Gehege'!$A:$AL,18,FALSE)+(($S122-1)*$G122),0)</f>
        <v>0</v>
      </c>
      <c r="V122" s="38">
        <f>IFERROR(VLOOKUP($A122,'Wikia | Gehege'!$A:$AL,19,FALSE)+(($S122-1)*$H122),0)</f>
        <v>0</v>
      </c>
      <c r="W122" s="85">
        <f>IFERROR(VLOOKUP($A122,'Wikia | Gehege'!$A:$AL,20,FALSE)+(($S122-1)*$I122),0)</f>
        <v>0</v>
      </c>
      <c r="X122" s="87"/>
    </row>
    <row r="123" spans="1:24" ht="35.1" customHeight="1" x14ac:dyDescent="0.2">
      <c r="A123" s="140" t="str">
        <f>'Wikia | Gehege'!A123</f>
        <v>Sonnenbär</v>
      </c>
      <c r="B123" s="35">
        <v>1062</v>
      </c>
      <c r="C123" s="36">
        <v>84</v>
      </c>
      <c r="D123" s="36">
        <v>0</v>
      </c>
      <c r="E123" s="37">
        <v>0</v>
      </c>
      <c r="F123" s="35">
        <f>IFERROR(B123-VLOOKUP($A123,'Wikia | Gehege'!$A:$AL,17,FALSE),0)</f>
        <v>142</v>
      </c>
      <c r="G123" s="36">
        <f>IFERROR(C123-VLOOKUP($A123,'Wikia | Gehege'!$A:$AL,18,FALSE),0)</f>
        <v>28</v>
      </c>
      <c r="H123" s="36">
        <f>IFERROR(D123-VLOOKUP($A123,'Wikia | Gehege'!$A:$AL,19,FALSE),0)</f>
        <v>0</v>
      </c>
      <c r="I123" s="37">
        <f>IFERROR(E123-VLOOKUP($A123,'Wikia | Gehege'!$A:$AL,20,FALSE),0)</f>
        <v>0</v>
      </c>
      <c r="J123" s="35">
        <f>IFERROR(IF(VLOOKUP($A123,'Wikia | Gehege'!$A:$AL,26,FALSE)=1,VLOOKUP($A123,'Wikia | Gehege'!$A:$AL,17,FALSE),VLOOKUP($A123,'Wikia | Gehege'!$A:$AL,17,FALSE)+VLOOKUP($A123,'Wikia | Gehege'!$A:$AL,26,FALSE)*($F123)-1*$F123),0)</f>
        <v>920</v>
      </c>
      <c r="K123" s="36">
        <f>IFERROR(IF(VLOOKUP($A123,'Wikia | Gehege'!$A:$AL,26,FALSE)=1,VLOOKUP($A123,'Wikia | Gehege'!$A:$AL,18,FALSE),VLOOKUP($A123,'Wikia | Gehege'!$A:$AL,18,FALSE)+VLOOKUP($A123,'Wikia | Gehege'!$A:$AL,26,FALSE)*($G123)-1*$G123),0)</f>
        <v>56</v>
      </c>
      <c r="L123" s="36">
        <f>IFERROR(IF(VLOOKUP($A123,'Wikia | Gehege'!$A:$AL,26,FALSE)=1,VLOOKUP($A123,'Wikia | Gehege'!$A:$AL,19,FALSE),VLOOKUP($A123,'Wikia | Gehege'!$A:$AL,19,FALSE)+VLOOKUP($A123,'Wikia | Gehege'!$A:$AL,26,FALSE)*($H123)-1*$H123),0)</f>
        <v>0</v>
      </c>
      <c r="M123" s="37">
        <f>IFERROR(IF(VLOOKUP($A123,'Wikia | Gehege'!$A:$AL,26,FALSE)=1,VLOOKUP($A123,'Wikia | Gehege'!$A:$AL,20,FALSE),VLOOKUP($A123,'Wikia | Gehege'!$A:$AL,20,FALSE)+VLOOKUP($A123,'Wikia | Gehege'!$A:$AL,26,FALSE)*($I123)-1*$I123),0)</f>
        <v>0</v>
      </c>
      <c r="N123" s="35">
        <f>IFERROR(IF(VLOOKUP($A123,'Wikia | Gehege'!$A:$AL,27,FALSE)=1,VLOOKUP($A123,'Wikia | Gehege'!$A:$AL,17,FALSE),VLOOKUP($A123,'Wikia | Gehege'!$A:$AL,17,FALSE)+VLOOKUP($A123,'Wikia | Gehege'!$A:$AL,27,FALSE)*($F123)-1*$F123),0)</f>
        <v>1062</v>
      </c>
      <c r="O123" s="36">
        <f>IFERROR(IF(VLOOKUP($A123,'Wikia | Gehege'!$A:$AL,27,FALSE)=1,VLOOKUP($A123,'Wikia | Gehege'!$A:$AL,18,FALSE),VLOOKUP($A123,'Wikia | Gehege'!$A:$AL,18,FALSE)+VLOOKUP($A123,'Wikia | Gehege'!$A:$AL,27,FALSE)*($G123)-1*$G123),0)</f>
        <v>84</v>
      </c>
      <c r="P123" s="36">
        <f>IFERROR(IF(VLOOKUP($A123,'Wikia | Gehege'!$A:$AL,27,FALSE)=1,VLOOKUP($A123,'Wikia | Gehege'!$A:$AL,19,FALSE),VLOOKUP($A123,'Wikia | Gehege'!$A:$AL,19,FALSE)+VLOOKUP($A123,'Wikia | Gehege'!$A:$AL,27,FALSE)*($H123)-1*$H123),0)</f>
        <v>0</v>
      </c>
      <c r="Q123" s="37">
        <f>IFERROR(IF(VLOOKUP($A123,'Wikia | Gehege'!$A:$AL,27,FALSE)=1,VLOOKUP($A123,'Wikia | Gehege'!$A:$AL,20,FALSE),VLOOKUP($A123,'Wikia | Gehege'!$A:$AL,20,FALSE)+VLOOKUP($A123,'Wikia | Gehege'!$A:$AL,27,FALSE)*($I123)-1*$I123),0)</f>
        <v>0</v>
      </c>
      <c r="R123" s="87"/>
      <c r="S123" s="94"/>
      <c r="T123" s="38">
        <f>IFERROR(VLOOKUP($A123,'Wikia | Gehege'!$A:$AL,17,FALSE)+(($S123-1)*$F123),0)</f>
        <v>778</v>
      </c>
      <c r="U123" s="38">
        <f>IFERROR(VLOOKUP($A123,'Wikia | Gehege'!$A:$AL,18,FALSE)+(($S123-1)*$G123),0)</f>
        <v>28</v>
      </c>
      <c r="V123" s="38">
        <f>IFERROR(VLOOKUP($A123,'Wikia | Gehege'!$A:$AL,19,FALSE)+(($S123-1)*$H123),0)</f>
        <v>0</v>
      </c>
      <c r="W123" s="85">
        <f>IFERROR(VLOOKUP($A123,'Wikia | Gehege'!$A:$AL,20,FALSE)+(($S123-1)*$I123),0)</f>
        <v>0</v>
      </c>
      <c r="X123" s="87"/>
    </row>
    <row r="124" spans="1:24" ht="35.1" customHeight="1" x14ac:dyDescent="0.2">
      <c r="A124" s="140" t="str">
        <f>'Wikia | Gehege'!A124</f>
        <v xml:space="preserve">Spießbock </v>
      </c>
      <c r="B124" s="35">
        <v>310</v>
      </c>
      <c r="C124" s="36">
        <v>0</v>
      </c>
      <c r="D124" s="36">
        <v>0</v>
      </c>
      <c r="E124" s="37">
        <v>0</v>
      </c>
      <c r="F124" s="35">
        <f>IFERROR(B124-VLOOKUP($A124,'Wikia | Gehege'!$A:$AL,17,FALSE),0)</f>
        <v>40</v>
      </c>
      <c r="G124" s="36">
        <f>IFERROR(C124-VLOOKUP($A124,'Wikia | Gehege'!$A:$AL,18,FALSE),0)</f>
        <v>0</v>
      </c>
      <c r="H124" s="36">
        <f>IFERROR(D124-VLOOKUP($A124,'Wikia | Gehege'!$A:$AL,19,FALSE),0)</f>
        <v>0</v>
      </c>
      <c r="I124" s="37">
        <f>IFERROR(E124-VLOOKUP($A124,'Wikia | Gehege'!$A:$AL,20,FALSE),0)</f>
        <v>0</v>
      </c>
      <c r="J124" s="35">
        <f>IFERROR(IF(VLOOKUP($A124,'Wikia | Gehege'!$A:$AL,26,FALSE)=1,VLOOKUP($A124,'Wikia | Gehege'!$A:$AL,17,FALSE),VLOOKUP($A124,'Wikia | Gehege'!$A:$AL,17,FALSE)+VLOOKUP($A124,'Wikia | Gehege'!$A:$AL,26,FALSE)*($F124)-1*$F124),0)</f>
        <v>430</v>
      </c>
      <c r="K124" s="36">
        <f>IFERROR(IF(VLOOKUP($A124,'Wikia | Gehege'!$A:$AL,26,FALSE)=1,VLOOKUP($A124,'Wikia | Gehege'!$A:$AL,18,FALSE),VLOOKUP($A124,'Wikia | Gehege'!$A:$AL,18,FALSE)+VLOOKUP($A124,'Wikia | Gehege'!$A:$AL,26,FALSE)*($G124)-1*$G124),0)</f>
        <v>0</v>
      </c>
      <c r="L124" s="36">
        <f>IFERROR(IF(VLOOKUP($A124,'Wikia | Gehege'!$A:$AL,26,FALSE)=1,VLOOKUP($A124,'Wikia | Gehege'!$A:$AL,19,FALSE),VLOOKUP($A124,'Wikia | Gehege'!$A:$AL,19,FALSE)+VLOOKUP($A124,'Wikia | Gehege'!$A:$AL,26,FALSE)*($H124)-1*$H124),0)</f>
        <v>0</v>
      </c>
      <c r="M124" s="37">
        <f>IFERROR(IF(VLOOKUP($A124,'Wikia | Gehege'!$A:$AL,26,FALSE)=1,VLOOKUP($A124,'Wikia | Gehege'!$A:$AL,20,FALSE),VLOOKUP($A124,'Wikia | Gehege'!$A:$AL,20,FALSE)+VLOOKUP($A124,'Wikia | Gehege'!$A:$AL,26,FALSE)*($I124)-1*$I124),0)</f>
        <v>0</v>
      </c>
      <c r="N124" s="35">
        <f>IFERROR(IF(VLOOKUP($A124,'Wikia | Gehege'!$A:$AL,27,FALSE)=1,VLOOKUP($A124,'Wikia | Gehege'!$A:$AL,17,FALSE),VLOOKUP($A124,'Wikia | Gehege'!$A:$AL,17,FALSE)+VLOOKUP($A124,'Wikia | Gehege'!$A:$AL,27,FALSE)*($F124)-1*$F124),0)</f>
        <v>630</v>
      </c>
      <c r="O124" s="36">
        <f>IFERROR(IF(VLOOKUP($A124,'Wikia | Gehege'!$A:$AL,27,FALSE)=1,VLOOKUP($A124,'Wikia | Gehege'!$A:$AL,18,FALSE),VLOOKUP($A124,'Wikia | Gehege'!$A:$AL,18,FALSE)+VLOOKUP($A124,'Wikia | Gehege'!$A:$AL,27,FALSE)*($G124)-1*$G124),0)</f>
        <v>0</v>
      </c>
      <c r="P124" s="36">
        <f>IFERROR(IF(VLOOKUP($A124,'Wikia | Gehege'!$A:$AL,27,FALSE)=1,VLOOKUP($A124,'Wikia | Gehege'!$A:$AL,19,FALSE),VLOOKUP($A124,'Wikia | Gehege'!$A:$AL,19,FALSE)+VLOOKUP($A124,'Wikia | Gehege'!$A:$AL,27,FALSE)*($H124)-1*$H124),0)</f>
        <v>0</v>
      </c>
      <c r="Q124" s="37">
        <f>IFERROR(IF(VLOOKUP($A124,'Wikia | Gehege'!$A:$AL,27,FALSE)=1,VLOOKUP($A124,'Wikia | Gehege'!$A:$AL,20,FALSE),VLOOKUP($A124,'Wikia | Gehege'!$A:$AL,20,FALSE)+VLOOKUP($A124,'Wikia | Gehege'!$A:$AL,27,FALSE)*($I124)-1*$I124),0)</f>
        <v>0</v>
      </c>
      <c r="R124" s="87"/>
      <c r="S124" s="94"/>
      <c r="T124" s="38">
        <f>IFERROR(VLOOKUP($A124,'Wikia | Gehege'!$A:$AL,17,FALSE)+(($S124-1)*$F124),0)</f>
        <v>230</v>
      </c>
      <c r="U124" s="38">
        <f>IFERROR(VLOOKUP($A124,'Wikia | Gehege'!$A:$AL,18,FALSE)+(($S124-1)*$G124),0)</f>
        <v>0</v>
      </c>
      <c r="V124" s="38">
        <f>IFERROR(VLOOKUP($A124,'Wikia | Gehege'!$A:$AL,19,FALSE)+(($S124-1)*$H124),0)</f>
        <v>0</v>
      </c>
      <c r="W124" s="85">
        <f>IFERROR(VLOOKUP($A124,'Wikia | Gehege'!$A:$AL,20,FALSE)+(($S124-1)*$I124),0)</f>
        <v>0</v>
      </c>
      <c r="X124" s="87"/>
    </row>
    <row r="125" spans="1:24" ht="35.1" customHeight="1" x14ac:dyDescent="0.2">
      <c r="A125" s="140" t="str">
        <f>'Wikia | Gehege'!A125</f>
        <v>Spitzmaulnashorn</v>
      </c>
      <c r="B125" s="35">
        <v>1500</v>
      </c>
      <c r="C125" s="36">
        <v>0</v>
      </c>
      <c r="D125" s="36">
        <v>0</v>
      </c>
      <c r="E125" s="37">
        <v>0</v>
      </c>
      <c r="F125" s="35">
        <f>IFERROR(B125-VLOOKUP($A125,'Wikia | Gehege'!$A:$AL,17,FALSE),0)</f>
        <v>500</v>
      </c>
      <c r="G125" s="36">
        <f>IFERROR(C125-VLOOKUP($A125,'Wikia | Gehege'!$A:$AL,18,FALSE),0)</f>
        <v>0</v>
      </c>
      <c r="H125" s="36">
        <f>IFERROR(D125-VLOOKUP($A125,'Wikia | Gehege'!$A:$AL,19,FALSE),0)</f>
        <v>0</v>
      </c>
      <c r="I125" s="37">
        <f>IFERROR(E125-VLOOKUP($A125,'Wikia | Gehege'!$A:$AL,20,FALSE),0)</f>
        <v>0</v>
      </c>
      <c r="J125" s="35">
        <f>IFERROR(IF(VLOOKUP($A125,'Wikia | Gehege'!$A:$AL,26,FALSE)=1,VLOOKUP($A125,'Wikia | Gehege'!$A:$AL,17,FALSE),VLOOKUP($A125,'Wikia | Gehege'!$A:$AL,17,FALSE)+VLOOKUP($A125,'Wikia | Gehege'!$A:$AL,26,FALSE)*($F125)-1*$F125),0)</f>
        <v>1000</v>
      </c>
      <c r="K125" s="36">
        <f>IFERROR(IF(VLOOKUP($A125,'Wikia | Gehege'!$A:$AL,26,FALSE)=1,VLOOKUP($A125,'Wikia | Gehege'!$A:$AL,18,FALSE),VLOOKUP($A125,'Wikia | Gehege'!$A:$AL,18,FALSE)+VLOOKUP($A125,'Wikia | Gehege'!$A:$AL,26,FALSE)*($G125)-1*$G125),0)</f>
        <v>0</v>
      </c>
      <c r="L125" s="36">
        <f>IFERROR(IF(VLOOKUP($A125,'Wikia | Gehege'!$A:$AL,26,FALSE)=1,VLOOKUP($A125,'Wikia | Gehege'!$A:$AL,19,FALSE),VLOOKUP($A125,'Wikia | Gehege'!$A:$AL,19,FALSE)+VLOOKUP($A125,'Wikia | Gehege'!$A:$AL,26,FALSE)*($H125)-1*$H125),0)</f>
        <v>0</v>
      </c>
      <c r="M125" s="37">
        <f>IFERROR(IF(VLOOKUP($A125,'Wikia | Gehege'!$A:$AL,26,FALSE)=1,VLOOKUP($A125,'Wikia | Gehege'!$A:$AL,20,FALSE),VLOOKUP($A125,'Wikia | Gehege'!$A:$AL,20,FALSE)+VLOOKUP($A125,'Wikia | Gehege'!$A:$AL,26,FALSE)*($I125)-1*$I125),0)</f>
        <v>0</v>
      </c>
      <c r="N125" s="35">
        <f>IFERROR(IF(VLOOKUP($A125,'Wikia | Gehege'!$A:$AL,27,FALSE)=1,VLOOKUP($A125,'Wikia | Gehege'!$A:$AL,17,FALSE),VLOOKUP($A125,'Wikia | Gehege'!$A:$AL,17,FALSE)+VLOOKUP($A125,'Wikia | Gehege'!$A:$AL,27,FALSE)*($F125)-1*$F125),0)</f>
        <v>2000</v>
      </c>
      <c r="O125" s="36">
        <f>IFERROR(IF(VLOOKUP($A125,'Wikia | Gehege'!$A:$AL,27,FALSE)=1,VLOOKUP($A125,'Wikia | Gehege'!$A:$AL,18,FALSE),VLOOKUP($A125,'Wikia | Gehege'!$A:$AL,18,FALSE)+VLOOKUP($A125,'Wikia | Gehege'!$A:$AL,27,FALSE)*($G125)-1*$G125),0)</f>
        <v>0</v>
      </c>
      <c r="P125" s="36">
        <f>IFERROR(IF(VLOOKUP($A125,'Wikia | Gehege'!$A:$AL,27,FALSE)=1,VLOOKUP($A125,'Wikia | Gehege'!$A:$AL,19,FALSE),VLOOKUP($A125,'Wikia | Gehege'!$A:$AL,19,FALSE)+VLOOKUP($A125,'Wikia | Gehege'!$A:$AL,27,FALSE)*($H125)-1*$H125),0)</f>
        <v>0</v>
      </c>
      <c r="Q125" s="37">
        <f>IFERROR(IF(VLOOKUP($A125,'Wikia | Gehege'!$A:$AL,27,FALSE)=1,VLOOKUP($A125,'Wikia | Gehege'!$A:$AL,20,FALSE),VLOOKUP($A125,'Wikia | Gehege'!$A:$AL,20,FALSE)+VLOOKUP($A125,'Wikia | Gehege'!$A:$AL,27,FALSE)*($I125)-1*$I125),0)</f>
        <v>0</v>
      </c>
      <c r="R125" s="87"/>
      <c r="S125" s="94"/>
      <c r="T125" s="38">
        <f>IFERROR(VLOOKUP($A125,'Wikia | Gehege'!$A:$AL,17,FALSE)+(($S125-1)*$F125),0)</f>
        <v>500</v>
      </c>
      <c r="U125" s="38">
        <f>IFERROR(VLOOKUP($A125,'Wikia | Gehege'!$A:$AL,18,FALSE)+(($S125-1)*$G125),0)</f>
        <v>0</v>
      </c>
      <c r="V125" s="38">
        <f>IFERROR(VLOOKUP($A125,'Wikia | Gehege'!$A:$AL,19,FALSE)+(($S125-1)*$H125),0)</f>
        <v>0</v>
      </c>
      <c r="W125" s="85">
        <f>IFERROR(VLOOKUP($A125,'Wikia | Gehege'!$A:$AL,20,FALSE)+(($S125-1)*$I125),0)</f>
        <v>0</v>
      </c>
      <c r="X125" s="87"/>
    </row>
    <row r="126" spans="1:24" ht="35.1" customHeight="1" x14ac:dyDescent="0.2">
      <c r="A126" s="140" t="str">
        <f>'Wikia | Gehege'!A126</f>
        <v>Spornschildkröte</v>
      </c>
      <c r="B126" s="35">
        <v>220</v>
      </c>
      <c r="C126" s="36">
        <v>0</v>
      </c>
      <c r="D126" s="36">
        <v>0</v>
      </c>
      <c r="E126" s="37">
        <v>0</v>
      </c>
      <c r="F126" s="35">
        <f>IFERROR(B126-VLOOKUP($A126,'Wikia | Gehege'!$A:$AL,17,FALSE),0)</f>
        <v>5</v>
      </c>
      <c r="G126" s="36">
        <f>IFERROR(C126-VLOOKUP($A126,'Wikia | Gehege'!$A:$AL,18,FALSE),0)</f>
        <v>0</v>
      </c>
      <c r="H126" s="36">
        <f>IFERROR(D126-VLOOKUP($A126,'Wikia | Gehege'!$A:$AL,19,FALSE),0)</f>
        <v>0</v>
      </c>
      <c r="I126" s="37">
        <f>IFERROR(E126-VLOOKUP($A126,'Wikia | Gehege'!$A:$AL,20,FALSE),0)</f>
        <v>0</v>
      </c>
      <c r="J126" s="35">
        <f>IFERROR(IF(VLOOKUP($A126,'Wikia | Gehege'!$A:$AL,26,FALSE)=1,VLOOKUP($A126,'Wikia | Gehege'!$A:$AL,17,FALSE),VLOOKUP($A126,'Wikia | Gehege'!$A:$AL,17,FALSE)+VLOOKUP($A126,'Wikia | Gehege'!$A:$AL,26,FALSE)*($F126)-1*$F126),0)</f>
        <v>215</v>
      </c>
      <c r="K126" s="36">
        <f>IFERROR(IF(VLOOKUP($A126,'Wikia | Gehege'!$A:$AL,26,FALSE)=1,VLOOKUP($A126,'Wikia | Gehege'!$A:$AL,18,FALSE),VLOOKUP($A126,'Wikia | Gehege'!$A:$AL,18,FALSE)+VLOOKUP($A126,'Wikia | Gehege'!$A:$AL,26,FALSE)*($G126)-1*$G126),0)</f>
        <v>0</v>
      </c>
      <c r="L126" s="36">
        <f>IFERROR(IF(VLOOKUP($A126,'Wikia | Gehege'!$A:$AL,26,FALSE)=1,VLOOKUP($A126,'Wikia | Gehege'!$A:$AL,19,FALSE),VLOOKUP($A126,'Wikia | Gehege'!$A:$AL,19,FALSE)+VLOOKUP($A126,'Wikia | Gehege'!$A:$AL,26,FALSE)*($H126)-1*$H126),0)</f>
        <v>0</v>
      </c>
      <c r="M126" s="37">
        <f>IFERROR(IF(VLOOKUP($A126,'Wikia | Gehege'!$A:$AL,26,FALSE)=1,VLOOKUP($A126,'Wikia | Gehege'!$A:$AL,20,FALSE),VLOOKUP($A126,'Wikia | Gehege'!$A:$AL,20,FALSE)+VLOOKUP($A126,'Wikia | Gehege'!$A:$AL,26,FALSE)*($I126)-1*$I126),0)</f>
        <v>0</v>
      </c>
      <c r="N126" s="35">
        <f>IFERROR(IF(VLOOKUP($A126,'Wikia | Gehege'!$A:$AL,27,FALSE)=1,VLOOKUP($A126,'Wikia | Gehege'!$A:$AL,17,FALSE),VLOOKUP($A126,'Wikia | Gehege'!$A:$AL,17,FALSE)+VLOOKUP($A126,'Wikia | Gehege'!$A:$AL,27,FALSE)*($F126)-1*$F126),0)</f>
        <v>250</v>
      </c>
      <c r="O126" s="36">
        <f>IFERROR(IF(VLOOKUP($A126,'Wikia | Gehege'!$A:$AL,27,FALSE)=1,VLOOKUP($A126,'Wikia | Gehege'!$A:$AL,18,FALSE),VLOOKUP($A126,'Wikia | Gehege'!$A:$AL,18,FALSE)+VLOOKUP($A126,'Wikia | Gehege'!$A:$AL,27,FALSE)*($G126)-1*$G126),0)</f>
        <v>0</v>
      </c>
      <c r="P126" s="36">
        <f>IFERROR(IF(VLOOKUP($A126,'Wikia | Gehege'!$A:$AL,27,FALSE)=1,VLOOKUP($A126,'Wikia | Gehege'!$A:$AL,19,FALSE),VLOOKUP($A126,'Wikia | Gehege'!$A:$AL,19,FALSE)+VLOOKUP($A126,'Wikia | Gehege'!$A:$AL,27,FALSE)*($H126)-1*$H126),0)</f>
        <v>0</v>
      </c>
      <c r="Q126" s="37">
        <f>IFERROR(IF(VLOOKUP($A126,'Wikia | Gehege'!$A:$AL,27,FALSE)=1,VLOOKUP($A126,'Wikia | Gehege'!$A:$AL,20,FALSE),VLOOKUP($A126,'Wikia | Gehege'!$A:$AL,20,FALSE)+VLOOKUP($A126,'Wikia | Gehege'!$A:$AL,27,FALSE)*($I126)-1*$I126),0)</f>
        <v>0</v>
      </c>
      <c r="R126" s="87"/>
      <c r="S126" s="94"/>
      <c r="T126" s="38">
        <f>IFERROR(VLOOKUP($A126,'Wikia | Gehege'!$A:$AL,17,FALSE)+(($S126-1)*$F126),0)</f>
        <v>210</v>
      </c>
      <c r="U126" s="38">
        <f>IFERROR(VLOOKUP($A126,'Wikia | Gehege'!$A:$AL,18,FALSE)+(($S126-1)*$G126),0)</f>
        <v>0</v>
      </c>
      <c r="V126" s="38">
        <f>IFERROR(VLOOKUP($A126,'Wikia | Gehege'!$A:$AL,19,FALSE)+(($S126-1)*$H126),0)</f>
        <v>0</v>
      </c>
      <c r="W126" s="85">
        <f>IFERROR(VLOOKUP($A126,'Wikia | Gehege'!$A:$AL,20,FALSE)+(($S126-1)*$I126),0)</f>
        <v>0</v>
      </c>
      <c r="X126" s="87"/>
    </row>
    <row r="127" spans="1:24" ht="35.1" customHeight="1" x14ac:dyDescent="0.2">
      <c r="A127" s="140" t="str">
        <f>'Wikia | Gehege'!A127</f>
        <v>Springbock</v>
      </c>
      <c r="B127" s="35">
        <v>480</v>
      </c>
      <c r="C127" s="36">
        <v>0</v>
      </c>
      <c r="D127" s="36">
        <v>0</v>
      </c>
      <c r="E127" s="37">
        <v>0</v>
      </c>
      <c r="F127" s="35">
        <f>IFERROR(B127-VLOOKUP($A127,'Wikia | Gehege'!$A:$AL,17,FALSE),0)</f>
        <v>55</v>
      </c>
      <c r="G127" s="36">
        <f>IFERROR(C127-VLOOKUP($A127,'Wikia | Gehege'!$A:$AL,18,FALSE),0)</f>
        <v>0</v>
      </c>
      <c r="H127" s="36">
        <f>IFERROR(D127-VLOOKUP($A127,'Wikia | Gehege'!$A:$AL,19,FALSE),0)</f>
        <v>0</v>
      </c>
      <c r="I127" s="37">
        <f>IFERROR(E127-VLOOKUP($A127,'Wikia | Gehege'!$A:$AL,20,FALSE),0)</f>
        <v>0</v>
      </c>
      <c r="J127" s="35">
        <f>IFERROR(IF(VLOOKUP($A127,'Wikia | Gehege'!$A:$AL,26,FALSE)=1,VLOOKUP($A127,'Wikia | Gehege'!$A:$AL,17,FALSE),VLOOKUP($A127,'Wikia | Gehege'!$A:$AL,17,FALSE)+VLOOKUP($A127,'Wikia | Gehege'!$A:$AL,26,FALSE)*($F127)-1*$F127),0)</f>
        <v>535</v>
      </c>
      <c r="K127" s="36">
        <f>IFERROR(IF(VLOOKUP($A127,'Wikia | Gehege'!$A:$AL,26,FALSE)=1,VLOOKUP($A127,'Wikia | Gehege'!$A:$AL,18,FALSE),VLOOKUP($A127,'Wikia | Gehege'!$A:$AL,18,FALSE)+VLOOKUP($A127,'Wikia | Gehege'!$A:$AL,26,FALSE)*($G127)-1*$G127),0)</f>
        <v>0</v>
      </c>
      <c r="L127" s="36">
        <f>IFERROR(IF(VLOOKUP($A127,'Wikia | Gehege'!$A:$AL,26,FALSE)=1,VLOOKUP($A127,'Wikia | Gehege'!$A:$AL,19,FALSE),VLOOKUP($A127,'Wikia | Gehege'!$A:$AL,19,FALSE)+VLOOKUP($A127,'Wikia | Gehege'!$A:$AL,26,FALSE)*($H127)-1*$H127),0)</f>
        <v>0</v>
      </c>
      <c r="M127" s="37">
        <f>IFERROR(IF(VLOOKUP($A127,'Wikia | Gehege'!$A:$AL,26,FALSE)=1,VLOOKUP($A127,'Wikia | Gehege'!$A:$AL,20,FALSE),VLOOKUP($A127,'Wikia | Gehege'!$A:$AL,20,FALSE)+VLOOKUP($A127,'Wikia | Gehege'!$A:$AL,26,FALSE)*($I127)-1*$I127),0)</f>
        <v>0</v>
      </c>
      <c r="N127" s="35">
        <f>IFERROR(IF(VLOOKUP($A127,'Wikia | Gehege'!$A:$AL,27,FALSE)=1,VLOOKUP($A127,'Wikia | Gehege'!$A:$AL,17,FALSE),VLOOKUP($A127,'Wikia | Gehege'!$A:$AL,17,FALSE)+VLOOKUP($A127,'Wikia | Gehege'!$A:$AL,27,FALSE)*($F127)-1*$F127),0)</f>
        <v>2295</v>
      </c>
      <c r="O127" s="36">
        <f>IFERROR(IF(VLOOKUP($A127,'Wikia | Gehege'!$A:$AL,27,FALSE)=1,VLOOKUP($A127,'Wikia | Gehege'!$A:$AL,18,FALSE),VLOOKUP($A127,'Wikia | Gehege'!$A:$AL,18,FALSE)+VLOOKUP($A127,'Wikia | Gehege'!$A:$AL,27,FALSE)*($G127)-1*$G127),0)</f>
        <v>0</v>
      </c>
      <c r="P127" s="36">
        <f>IFERROR(IF(VLOOKUP($A127,'Wikia | Gehege'!$A:$AL,27,FALSE)=1,VLOOKUP($A127,'Wikia | Gehege'!$A:$AL,19,FALSE),VLOOKUP($A127,'Wikia | Gehege'!$A:$AL,19,FALSE)+VLOOKUP($A127,'Wikia | Gehege'!$A:$AL,27,FALSE)*($H127)-1*$H127),0)</f>
        <v>0</v>
      </c>
      <c r="Q127" s="37">
        <f>IFERROR(IF(VLOOKUP($A127,'Wikia | Gehege'!$A:$AL,27,FALSE)=1,VLOOKUP($A127,'Wikia | Gehege'!$A:$AL,20,FALSE),VLOOKUP($A127,'Wikia | Gehege'!$A:$AL,20,FALSE)+VLOOKUP($A127,'Wikia | Gehege'!$A:$AL,27,FALSE)*($I127)-1*$I127),0)</f>
        <v>0</v>
      </c>
      <c r="R127" s="87"/>
      <c r="S127" s="94"/>
      <c r="T127" s="38">
        <f>IFERROR(VLOOKUP($A127,'Wikia | Gehege'!$A:$AL,17,FALSE)+(($S127-1)*$F127),0)</f>
        <v>370</v>
      </c>
      <c r="U127" s="38">
        <f>IFERROR(VLOOKUP($A127,'Wikia | Gehege'!$A:$AL,18,FALSE)+(($S127-1)*$G127),0)</f>
        <v>0</v>
      </c>
      <c r="V127" s="38">
        <f>IFERROR(VLOOKUP($A127,'Wikia | Gehege'!$A:$AL,19,FALSE)+(($S127-1)*$H127),0)</f>
        <v>0</v>
      </c>
      <c r="W127" s="85">
        <f>IFERROR(VLOOKUP($A127,'Wikia | Gehege'!$A:$AL,20,FALSE)+(($S127-1)*$I127),0)</f>
        <v>0</v>
      </c>
      <c r="X127" s="87"/>
    </row>
    <row r="128" spans="1:24" ht="35.1" customHeight="1" x14ac:dyDescent="0.2">
      <c r="A128" s="140" t="str">
        <f>'Wikia | Gehege'!A128</f>
        <v xml:space="preserve">Steppenzebra </v>
      </c>
      <c r="B128" s="35">
        <v>690</v>
      </c>
      <c r="C128" s="36">
        <v>0</v>
      </c>
      <c r="D128" s="36">
        <v>0</v>
      </c>
      <c r="E128" s="37">
        <v>0</v>
      </c>
      <c r="F128" s="35">
        <f>IFERROR(B128-VLOOKUP($A128,'Wikia | Gehege'!$A:$AL,17,FALSE),0)</f>
        <v>180</v>
      </c>
      <c r="G128" s="36">
        <f>IFERROR(C128-VLOOKUP($A128,'Wikia | Gehege'!$A:$AL,18,FALSE),0)</f>
        <v>0</v>
      </c>
      <c r="H128" s="36">
        <f>IFERROR(D128-VLOOKUP($A128,'Wikia | Gehege'!$A:$AL,19,FALSE),0)</f>
        <v>0</v>
      </c>
      <c r="I128" s="37">
        <f>IFERROR(E128-VLOOKUP($A128,'Wikia | Gehege'!$A:$AL,20,FALSE),0)</f>
        <v>0</v>
      </c>
      <c r="J128" s="35">
        <f>IFERROR(IF(VLOOKUP($A128,'Wikia | Gehege'!$A:$AL,26,FALSE)=1,VLOOKUP($A128,'Wikia | Gehege'!$A:$AL,17,FALSE),VLOOKUP($A128,'Wikia | Gehege'!$A:$AL,17,FALSE)+VLOOKUP($A128,'Wikia | Gehege'!$A:$AL,26,FALSE)*($F128)-1*$F128),0)</f>
        <v>870</v>
      </c>
      <c r="K128" s="36">
        <f>IFERROR(IF(VLOOKUP($A128,'Wikia | Gehege'!$A:$AL,26,FALSE)=1,VLOOKUP($A128,'Wikia | Gehege'!$A:$AL,18,FALSE),VLOOKUP($A128,'Wikia | Gehege'!$A:$AL,18,FALSE)+VLOOKUP($A128,'Wikia | Gehege'!$A:$AL,26,FALSE)*($G128)-1*$G128),0)</f>
        <v>0</v>
      </c>
      <c r="L128" s="36">
        <f>IFERROR(IF(VLOOKUP($A128,'Wikia | Gehege'!$A:$AL,26,FALSE)=1,VLOOKUP($A128,'Wikia | Gehege'!$A:$AL,19,FALSE),VLOOKUP($A128,'Wikia | Gehege'!$A:$AL,19,FALSE)+VLOOKUP($A128,'Wikia | Gehege'!$A:$AL,26,FALSE)*($H128)-1*$H128),0)</f>
        <v>0</v>
      </c>
      <c r="M128" s="37">
        <f>IFERROR(IF(VLOOKUP($A128,'Wikia | Gehege'!$A:$AL,26,FALSE)=1,VLOOKUP($A128,'Wikia | Gehege'!$A:$AL,20,FALSE),VLOOKUP($A128,'Wikia | Gehege'!$A:$AL,20,FALSE)+VLOOKUP($A128,'Wikia | Gehege'!$A:$AL,26,FALSE)*($I128)-1*$I128),0)</f>
        <v>0</v>
      </c>
      <c r="N128" s="35">
        <f>IFERROR(IF(VLOOKUP($A128,'Wikia | Gehege'!$A:$AL,27,FALSE)=1,VLOOKUP($A128,'Wikia | Gehege'!$A:$AL,17,FALSE),VLOOKUP($A128,'Wikia | Gehege'!$A:$AL,17,FALSE)+VLOOKUP($A128,'Wikia | Gehege'!$A:$AL,27,FALSE)*($F128)-1*$F128),0)</f>
        <v>1410</v>
      </c>
      <c r="O128" s="36">
        <f>IFERROR(IF(VLOOKUP($A128,'Wikia | Gehege'!$A:$AL,27,FALSE)=1,VLOOKUP($A128,'Wikia | Gehege'!$A:$AL,18,FALSE),VLOOKUP($A128,'Wikia | Gehege'!$A:$AL,18,FALSE)+VLOOKUP($A128,'Wikia | Gehege'!$A:$AL,27,FALSE)*($G128)-1*$G128),0)</f>
        <v>0</v>
      </c>
      <c r="P128" s="36">
        <f>IFERROR(IF(VLOOKUP($A128,'Wikia | Gehege'!$A:$AL,27,FALSE)=1,VLOOKUP($A128,'Wikia | Gehege'!$A:$AL,19,FALSE),VLOOKUP($A128,'Wikia | Gehege'!$A:$AL,19,FALSE)+VLOOKUP($A128,'Wikia | Gehege'!$A:$AL,27,FALSE)*($H128)-1*$H128),0)</f>
        <v>0</v>
      </c>
      <c r="Q128" s="37">
        <f>IFERROR(IF(VLOOKUP($A128,'Wikia | Gehege'!$A:$AL,27,FALSE)=1,VLOOKUP($A128,'Wikia | Gehege'!$A:$AL,20,FALSE),VLOOKUP($A128,'Wikia | Gehege'!$A:$AL,20,FALSE)+VLOOKUP($A128,'Wikia | Gehege'!$A:$AL,27,FALSE)*($I128)-1*$I128),0)</f>
        <v>0</v>
      </c>
      <c r="R128" s="87"/>
      <c r="S128" s="94"/>
      <c r="T128" s="38">
        <f>IFERROR(VLOOKUP($A128,'Wikia | Gehege'!$A:$AL,17,FALSE)+(($S128-1)*$F128),0)</f>
        <v>330</v>
      </c>
      <c r="U128" s="38">
        <f>IFERROR(VLOOKUP($A128,'Wikia | Gehege'!$A:$AL,18,FALSE)+(($S128-1)*$G128),0)</f>
        <v>0</v>
      </c>
      <c r="V128" s="38">
        <f>IFERROR(VLOOKUP($A128,'Wikia | Gehege'!$A:$AL,19,FALSE)+(($S128-1)*$H128),0)</f>
        <v>0</v>
      </c>
      <c r="W128" s="85">
        <f>IFERROR(VLOOKUP($A128,'Wikia | Gehege'!$A:$AL,20,FALSE)+(($S128-1)*$I128),0)</f>
        <v>0</v>
      </c>
      <c r="X128" s="87"/>
    </row>
    <row r="129" spans="1:24" ht="35.1" customHeight="1" x14ac:dyDescent="0.2">
      <c r="A129" s="140" t="str">
        <f>'Wikia | Gehege'!A129</f>
        <v>Streifengnu</v>
      </c>
      <c r="B129" s="35">
        <v>450</v>
      </c>
      <c r="C129" s="36">
        <v>0</v>
      </c>
      <c r="D129" s="36">
        <v>0</v>
      </c>
      <c r="E129" s="37">
        <v>0</v>
      </c>
      <c r="F129" s="35">
        <f>IFERROR(B129-VLOOKUP($A129,'Wikia | Gehege'!$A:$AL,17,FALSE),0)</f>
        <v>40</v>
      </c>
      <c r="G129" s="36">
        <f>IFERROR(C129-VLOOKUP($A129,'Wikia | Gehege'!$A:$AL,18,FALSE),0)</f>
        <v>0</v>
      </c>
      <c r="H129" s="36">
        <f>IFERROR(D129-VLOOKUP($A129,'Wikia | Gehege'!$A:$AL,19,FALSE),0)</f>
        <v>0</v>
      </c>
      <c r="I129" s="37">
        <f>IFERROR(E129-VLOOKUP($A129,'Wikia | Gehege'!$A:$AL,20,FALSE),0)</f>
        <v>0</v>
      </c>
      <c r="J129" s="35">
        <f>IFERROR(IF(VLOOKUP($A129,'Wikia | Gehege'!$A:$AL,26,FALSE)=1,VLOOKUP($A129,'Wikia | Gehege'!$A:$AL,17,FALSE),VLOOKUP($A129,'Wikia | Gehege'!$A:$AL,17,FALSE)+VLOOKUP($A129,'Wikia | Gehege'!$A:$AL,26,FALSE)*($F129)-1*$F129),0)</f>
        <v>530</v>
      </c>
      <c r="K129" s="36">
        <f>IFERROR(IF(VLOOKUP($A129,'Wikia | Gehege'!$A:$AL,26,FALSE)=1,VLOOKUP($A129,'Wikia | Gehege'!$A:$AL,18,FALSE),VLOOKUP($A129,'Wikia | Gehege'!$A:$AL,18,FALSE)+VLOOKUP($A129,'Wikia | Gehege'!$A:$AL,26,FALSE)*($G129)-1*$G129),0)</f>
        <v>0</v>
      </c>
      <c r="L129" s="36">
        <f>IFERROR(IF(VLOOKUP($A129,'Wikia | Gehege'!$A:$AL,26,FALSE)=1,VLOOKUP($A129,'Wikia | Gehege'!$A:$AL,19,FALSE),VLOOKUP($A129,'Wikia | Gehege'!$A:$AL,19,FALSE)+VLOOKUP($A129,'Wikia | Gehege'!$A:$AL,26,FALSE)*($H129)-1*$H129),0)</f>
        <v>0</v>
      </c>
      <c r="M129" s="37">
        <f>IFERROR(IF(VLOOKUP($A129,'Wikia | Gehege'!$A:$AL,26,FALSE)=1,VLOOKUP($A129,'Wikia | Gehege'!$A:$AL,20,FALSE),VLOOKUP($A129,'Wikia | Gehege'!$A:$AL,20,FALSE)+VLOOKUP($A129,'Wikia | Gehege'!$A:$AL,26,FALSE)*($I129)-1*$I129),0)</f>
        <v>0</v>
      </c>
      <c r="N129" s="35">
        <f>IFERROR(IF(VLOOKUP($A129,'Wikia | Gehege'!$A:$AL,27,FALSE)=1,VLOOKUP($A129,'Wikia | Gehege'!$A:$AL,17,FALSE),VLOOKUP($A129,'Wikia | Gehege'!$A:$AL,17,FALSE)+VLOOKUP($A129,'Wikia | Gehege'!$A:$AL,27,FALSE)*($F129)-1*$F129),0)</f>
        <v>1170</v>
      </c>
      <c r="O129" s="36">
        <f>IFERROR(IF(VLOOKUP($A129,'Wikia | Gehege'!$A:$AL,27,FALSE)=1,VLOOKUP($A129,'Wikia | Gehege'!$A:$AL,18,FALSE),VLOOKUP($A129,'Wikia | Gehege'!$A:$AL,18,FALSE)+VLOOKUP($A129,'Wikia | Gehege'!$A:$AL,27,FALSE)*($G129)-1*$G129),0)</f>
        <v>0</v>
      </c>
      <c r="P129" s="36">
        <f>IFERROR(IF(VLOOKUP($A129,'Wikia | Gehege'!$A:$AL,27,FALSE)=1,VLOOKUP($A129,'Wikia | Gehege'!$A:$AL,19,FALSE),VLOOKUP($A129,'Wikia | Gehege'!$A:$AL,19,FALSE)+VLOOKUP($A129,'Wikia | Gehege'!$A:$AL,27,FALSE)*($H129)-1*$H129),0)</f>
        <v>0</v>
      </c>
      <c r="Q129" s="37">
        <f>IFERROR(IF(VLOOKUP($A129,'Wikia | Gehege'!$A:$AL,27,FALSE)=1,VLOOKUP($A129,'Wikia | Gehege'!$A:$AL,20,FALSE),VLOOKUP($A129,'Wikia | Gehege'!$A:$AL,20,FALSE)+VLOOKUP($A129,'Wikia | Gehege'!$A:$AL,27,FALSE)*($I129)-1*$I129),0)</f>
        <v>0</v>
      </c>
      <c r="R129" s="87"/>
      <c r="S129" s="94"/>
      <c r="T129" s="38">
        <f>IFERROR(VLOOKUP($A129,'Wikia | Gehege'!$A:$AL,17,FALSE)+(($S129-1)*$F129),0)</f>
        <v>370</v>
      </c>
      <c r="U129" s="38">
        <f>IFERROR(VLOOKUP($A129,'Wikia | Gehege'!$A:$AL,18,FALSE)+(($S129-1)*$G129),0)</f>
        <v>0</v>
      </c>
      <c r="V129" s="38">
        <f>IFERROR(VLOOKUP($A129,'Wikia | Gehege'!$A:$AL,19,FALSE)+(($S129-1)*$H129),0)</f>
        <v>0</v>
      </c>
      <c r="W129" s="85">
        <f>IFERROR(VLOOKUP($A129,'Wikia | Gehege'!$A:$AL,20,FALSE)+(($S129-1)*$I129),0)</f>
        <v>0</v>
      </c>
      <c r="X129" s="87"/>
    </row>
    <row r="130" spans="1:24" ht="35.1" customHeight="1" x14ac:dyDescent="0.2">
      <c r="A130" s="140" t="str">
        <f>'Wikia | Gehege'!A130</f>
        <v>Streifenhyäne</v>
      </c>
      <c r="B130" s="35">
        <v>1254</v>
      </c>
      <c r="C130" s="36">
        <v>0</v>
      </c>
      <c r="D130" s="36">
        <v>0</v>
      </c>
      <c r="E130" s="37">
        <v>0</v>
      </c>
      <c r="F130" s="35">
        <f>IFERROR(B130-VLOOKUP($A130,'Wikia | Gehege'!$A:$AL,17,FALSE),0)</f>
        <v>92</v>
      </c>
      <c r="G130" s="36">
        <f>IFERROR(C130-VLOOKUP($A130,'Wikia | Gehege'!$A:$AL,18,FALSE),0)</f>
        <v>0</v>
      </c>
      <c r="H130" s="36">
        <f>IFERROR(D130-VLOOKUP($A130,'Wikia | Gehege'!$A:$AL,19,FALSE),0)</f>
        <v>0</v>
      </c>
      <c r="I130" s="37">
        <f>IFERROR(E130-VLOOKUP($A130,'Wikia | Gehege'!$A:$AL,20,FALSE),0)</f>
        <v>0</v>
      </c>
      <c r="J130" s="35">
        <f>IFERROR(IF(VLOOKUP($A130,'Wikia | Gehege'!$A:$AL,26,FALSE)=1,VLOOKUP($A130,'Wikia | Gehege'!$A:$AL,17,FALSE),VLOOKUP($A130,'Wikia | Gehege'!$A:$AL,17,FALSE)+VLOOKUP($A130,'Wikia | Gehege'!$A:$AL,26,FALSE)*($F130)-1*$F130),0)</f>
        <v>1162</v>
      </c>
      <c r="K130" s="36">
        <f>IFERROR(IF(VLOOKUP($A130,'Wikia | Gehege'!$A:$AL,26,FALSE)=1,VLOOKUP($A130,'Wikia | Gehege'!$A:$AL,18,FALSE),VLOOKUP($A130,'Wikia | Gehege'!$A:$AL,18,FALSE)+VLOOKUP($A130,'Wikia | Gehege'!$A:$AL,26,FALSE)*($G130)-1*$G130),0)</f>
        <v>0</v>
      </c>
      <c r="L130" s="36">
        <f>IFERROR(IF(VLOOKUP($A130,'Wikia | Gehege'!$A:$AL,26,FALSE)=1,VLOOKUP($A130,'Wikia | Gehege'!$A:$AL,19,FALSE),VLOOKUP($A130,'Wikia | Gehege'!$A:$AL,19,FALSE)+VLOOKUP($A130,'Wikia | Gehege'!$A:$AL,26,FALSE)*($H130)-1*$H130),0)</f>
        <v>0</v>
      </c>
      <c r="M130" s="37">
        <f>IFERROR(IF(VLOOKUP($A130,'Wikia | Gehege'!$A:$AL,26,FALSE)=1,VLOOKUP($A130,'Wikia | Gehege'!$A:$AL,20,FALSE),VLOOKUP($A130,'Wikia | Gehege'!$A:$AL,20,FALSE)+VLOOKUP($A130,'Wikia | Gehege'!$A:$AL,26,FALSE)*($I130)-1*$I130),0)</f>
        <v>0</v>
      </c>
      <c r="N130" s="35">
        <f>IFERROR(IF(VLOOKUP($A130,'Wikia | Gehege'!$A:$AL,27,FALSE)=1,VLOOKUP($A130,'Wikia | Gehege'!$A:$AL,17,FALSE),VLOOKUP($A130,'Wikia | Gehege'!$A:$AL,17,FALSE)+VLOOKUP($A130,'Wikia | Gehege'!$A:$AL,27,FALSE)*($F130)-1*$F130),0)</f>
        <v>1714</v>
      </c>
      <c r="O130" s="36">
        <f>IFERROR(IF(VLOOKUP($A130,'Wikia | Gehege'!$A:$AL,27,FALSE)=1,VLOOKUP($A130,'Wikia | Gehege'!$A:$AL,18,FALSE),VLOOKUP($A130,'Wikia | Gehege'!$A:$AL,18,FALSE)+VLOOKUP($A130,'Wikia | Gehege'!$A:$AL,27,FALSE)*($G130)-1*$G130),0)</f>
        <v>0</v>
      </c>
      <c r="P130" s="36">
        <f>IFERROR(IF(VLOOKUP($A130,'Wikia | Gehege'!$A:$AL,27,FALSE)=1,VLOOKUP($A130,'Wikia | Gehege'!$A:$AL,19,FALSE),VLOOKUP($A130,'Wikia | Gehege'!$A:$AL,19,FALSE)+VLOOKUP($A130,'Wikia | Gehege'!$A:$AL,27,FALSE)*($H130)-1*$H130),0)</f>
        <v>0</v>
      </c>
      <c r="Q130" s="37">
        <f>IFERROR(IF(VLOOKUP($A130,'Wikia | Gehege'!$A:$AL,27,FALSE)=1,VLOOKUP($A130,'Wikia | Gehege'!$A:$AL,20,FALSE),VLOOKUP($A130,'Wikia | Gehege'!$A:$AL,20,FALSE)+VLOOKUP($A130,'Wikia | Gehege'!$A:$AL,27,FALSE)*($I130)-1*$I130),0)</f>
        <v>0</v>
      </c>
      <c r="R130" s="87"/>
      <c r="S130" s="94"/>
      <c r="T130" s="38">
        <f>IFERROR(VLOOKUP($A130,'Wikia | Gehege'!$A:$AL,17,FALSE)+(($S130-1)*$F130),0)</f>
        <v>1070</v>
      </c>
      <c r="U130" s="38">
        <f>IFERROR(VLOOKUP($A130,'Wikia | Gehege'!$A:$AL,18,FALSE)+(($S130-1)*$G130),0)</f>
        <v>0</v>
      </c>
      <c r="V130" s="38">
        <f>IFERROR(VLOOKUP($A130,'Wikia | Gehege'!$A:$AL,19,FALSE)+(($S130-1)*$H130),0)</f>
        <v>0</v>
      </c>
      <c r="W130" s="85">
        <f>IFERROR(VLOOKUP($A130,'Wikia | Gehege'!$A:$AL,20,FALSE)+(($S130-1)*$I130),0)</f>
        <v>0</v>
      </c>
      <c r="X130" s="87"/>
    </row>
    <row r="131" spans="1:24" ht="35.1" customHeight="1" x14ac:dyDescent="0.2">
      <c r="A131" s="140" t="str">
        <f>'Wikia | Gehege'!A131</f>
        <v>Streifenskunk</v>
      </c>
      <c r="B131" s="35">
        <v>222</v>
      </c>
      <c r="C131" s="36">
        <v>0</v>
      </c>
      <c r="D131" s="36">
        <v>0</v>
      </c>
      <c r="E131" s="37">
        <v>0</v>
      </c>
      <c r="F131" s="35">
        <f>IFERROR(B131-VLOOKUP($A131,'Wikia | Gehege'!$A:$AL,17,FALSE),0)</f>
        <v>42</v>
      </c>
      <c r="G131" s="36">
        <f>IFERROR(C131-VLOOKUP($A131,'Wikia | Gehege'!$A:$AL,18,FALSE),0)</f>
        <v>0</v>
      </c>
      <c r="H131" s="36">
        <f>IFERROR(D131-VLOOKUP($A131,'Wikia | Gehege'!$A:$AL,19,FALSE),0)</f>
        <v>0</v>
      </c>
      <c r="I131" s="37">
        <f>IFERROR(E131-VLOOKUP($A131,'Wikia | Gehege'!$A:$AL,20,FALSE),0)</f>
        <v>0</v>
      </c>
      <c r="J131" s="35">
        <f>IFERROR(IF(VLOOKUP($A131,'Wikia | Gehege'!$A:$AL,26,FALSE)=1,VLOOKUP($A131,'Wikia | Gehege'!$A:$AL,17,FALSE),VLOOKUP($A131,'Wikia | Gehege'!$A:$AL,17,FALSE)+VLOOKUP($A131,'Wikia | Gehege'!$A:$AL,26,FALSE)*($F131)-1*$F131),0)</f>
        <v>180</v>
      </c>
      <c r="K131" s="36">
        <f>IFERROR(IF(VLOOKUP($A131,'Wikia | Gehege'!$A:$AL,26,FALSE)=1,VLOOKUP($A131,'Wikia | Gehege'!$A:$AL,18,FALSE),VLOOKUP($A131,'Wikia | Gehege'!$A:$AL,18,FALSE)+VLOOKUP($A131,'Wikia | Gehege'!$A:$AL,26,FALSE)*($G131)-1*$G131),0)</f>
        <v>0</v>
      </c>
      <c r="L131" s="36">
        <f>IFERROR(IF(VLOOKUP($A131,'Wikia | Gehege'!$A:$AL,26,FALSE)=1,VLOOKUP($A131,'Wikia | Gehege'!$A:$AL,19,FALSE),VLOOKUP($A131,'Wikia | Gehege'!$A:$AL,19,FALSE)+VLOOKUP($A131,'Wikia | Gehege'!$A:$AL,26,FALSE)*($H131)-1*$H131),0)</f>
        <v>0</v>
      </c>
      <c r="M131" s="37">
        <f>IFERROR(IF(VLOOKUP($A131,'Wikia | Gehege'!$A:$AL,26,FALSE)=1,VLOOKUP($A131,'Wikia | Gehege'!$A:$AL,20,FALSE),VLOOKUP($A131,'Wikia | Gehege'!$A:$AL,20,FALSE)+VLOOKUP($A131,'Wikia | Gehege'!$A:$AL,26,FALSE)*($I131)-1*$I131),0)</f>
        <v>0</v>
      </c>
      <c r="N131" s="35">
        <f>IFERROR(IF(VLOOKUP($A131,'Wikia | Gehege'!$A:$AL,27,FALSE)=1,VLOOKUP($A131,'Wikia | Gehege'!$A:$AL,17,FALSE),VLOOKUP($A131,'Wikia | Gehege'!$A:$AL,17,FALSE)+VLOOKUP($A131,'Wikia | Gehege'!$A:$AL,27,FALSE)*($F131)-1*$F131),0)</f>
        <v>222</v>
      </c>
      <c r="O131" s="36">
        <f>IFERROR(IF(VLOOKUP($A131,'Wikia | Gehege'!$A:$AL,27,FALSE)=1,VLOOKUP($A131,'Wikia | Gehege'!$A:$AL,18,FALSE),VLOOKUP($A131,'Wikia | Gehege'!$A:$AL,18,FALSE)+VLOOKUP($A131,'Wikia | Gehege'!$A:$AL,27,FALSE)*($G131)-1*$G131),0)</f>
        <v>0</v>
      </c>
      <c r="P131" s="36">
        <f>IFERROR(IF(VLOOKUP($A131,'Wikia | Gehege'!$A:$AL,27,FALSE)=1,VLOOKUP($A131,'Wikia | Gehege'!$A:$AL,19,FALSE),VLOOKUP($A131,'Wikia | Gehege'!$A:$AL,19,FALSE)+VLOOKUP($A131,'Wikia | Gehege'!$A:$AL,27,FALSE)*($H131)-1*$H131),0)</f>
        <v>0</v>
      </c>
      <c r="Q131" s="37">
        <f>IFERROR(IF(VLOOKUP($A131,'Wikia | Gehege'!$A:$AL,27,FALSE)=1,VLOOKUP($A131,'Wikia | Gehege'!$A:$AL,20,FALSE),VLOOKUP($A131,'Wikia | Gehege'!$A:$AL,20,FALSE)+VLOOKUP($A131,'Wikia | Gehege'!$A:$AL,27,FALSE)*($I131)-1*$I131),0)</f>
        <v>0</v>
      </c>
      <c r="R131" s="87"/>
      <c r="S131" s="94"/>
      <c r="T131" s="38">
        <f>IFERROR(VLOOKUP($A131,'Wikia | Gehege'!$A:$AL,17,FALSE)+(($S131-1)*$F131),0)</f>
        <v>138</v>
      </c>
      <c r="U131" s="38">
        <f>IFERROR(VLOOKUP($A131,'Wikia | Gehege'!$A:$AL,18,FALSE)+(($S131-1)*$G131),0)</f>
        <v>0</v>
      </c>
      <c r="V131" s="38">
        <f>IFERROR(VLOOKUP($A131,'Wikia | Gehege'!$A:$AL,19,FALSE)+(($S131-1)*$H131),0)</f>
        <v>0</v>
      </c>
      <c r="W131" s="85">
        <f>IFERROR(VLOOKUP($A131,'Wikia | Gehege'!$A:$AL,20,FALSE)+(($S131-1)*$I131),0)</f>
        <v>0</v>
      </c>
      <c r="X131" s="87"/>
    </row>
    <row r="132" spans="1:24" ht="35.1" customHeight="1" x14ac:dyDescent="0.2">
      <c r="A132" s="140" t="str">
        <f>'Wikia | Gehege'!A132</f>
        <v>Sussex-Huhn</v>
      </c>
      <c r="B132" s="35">
        <v>212</v>
      </c>
      <c r="C132" s="36">
        <v>0</v>
      </c>
      <c r="D132" s="36">
        <v>0</v>
      </c>
      <c r="E132" s="37">
        <v>0</v>
      </c>
      <c r="F132" s="35">
        <f>IFERROR(B132-VLOOKUP($A132,'Wikia | Gehege'!$A:$AL,17,FALSE),0)</f>
        <v>12</v>
      </c>
      <c r="G132" s="36">
        <f>IFERROR(C132-VLOOKUP($A132,'Wikia | Gehege'!$A:$AL,18,FALSE),0)</f>
        <v>0</v>
      </c>
      <c r="H132" s="36">
        <f>IFERROR(D132-VLOOKUP($A132,'Wikia | Gehege'!$A:$AL,19,FALSE),0)</f>
        <v>0</v>
      </c>
      <c r="I132" s="37">
        <f>IFERROR(E132-VLOOKUP($A132,'Wikia | Gehege'!$A:$AL,20,FALSE),0)</f>
        <v>0</v>
      </c>
      <c r="J132" s="35">
        <f>IFERROR(IF(VLOOKUP($A132,'Wikia | Gehege'!$A:$AL,26,FALSE)=1,VLOOKUP($A132,'Wikia | Gehege'!$A:$AL,17,FALSE),VLOOKUP($A132,'Wikia | Gehege'!$A:$AL,17,FALSE)+VLOOKUP($A132,'Wikia | Gehege'!$A:$AL,26,FALSE)*($F132)-1*$F132),0)</f>
        <v>212</v>
      </c>
      <c r="K132" s="36">
        <f>IFERROR(IF(VLOOKUP($A132,'Wikia | Gehege'!$A:$AL,26,FALSE)=1,VLOOKUP($A132,'Wikia | Gehege'!$A:$AL,18,FALSE),VLOOKUP($A132,'Wikia | Gehege'!$A:$AL,18,FALSE)+VLOOKUP($A132,'Wikia | Gehege'!$A:$AL,26,FALSE)*($G132)-1*$G132),0)</f>
        <v>0</v>
      </c>
      <c r="L132" s="36">
        <f>IFERROR(IF(VLOOKUP($A132,'Wikia | Gehege'!$A:$AL,26,FALSE)=1,VLOOKUP($A132,'Wikia | Gehege'!$A:$AL,19,FALSE),VLOOKUP($A132,'Wikia | Gehege'!$A:$AL,19,FALSE)+VLOOKUP($A132,'Wikia | Gehege'!$A:$AL,26,FALSE)*($H132)-1*$H132),0)</f>
        <v>0</v>
      </c>
      <c r="M132" s="37">
        <f>IFERROR(IF(VLOOKUP($A132,'Wikia | Gehege'!$A:$AL,26,FALSE)=1,VLOOKUP($A132,'Wikia | Gehege'!$A:$AL,20,FALSE),VLOOKUP($A132,'Wikia | Gehege'!$A:$AL,20,FALSE)+VLOOKUP($A132,'Wikia | Gehege'!$A:$AL,26,FALSE)*($I132)-1*$I132),0)</f>
        <v>0</v>
      </c>
      <c r="N132" s="35">
        <f>IFERROR(IF(VLOOKUP($A132,'Wikia | Gehege'!$A:$AL,27,FALSE)=1,VLOOKUP($A132,'Wikia | Gehege'!$A:$AL,17,FALSE),VLOOKUP($A132,'Wikia | Gehege'!$A:$AL,17,FALSE)+VLOOKUP($A132,'Wikia | Gehege'!$A:$AL,27,FALSE)*($F132)-1*$F132),0)</f>
        <v>1148</v>
      </c>
      <c r="O132" s="36">
        <f>IFERROR(IF(VLOOKUP($A132,'Wikia | Gehege'!$A:$AL,27,FALSE)=1,VLOOKUP($A132,'Wikia | Gehege'!$A:$AL,18,FALSE),VLOOKUP($A132,'Wikia | Gehege'!$A:$AL,18,FALSE)+VLOOKUP($A132,'Wikia | Gehege'!$A:$AL,27,FALSE)*($G132)-1*$G132),0)</f>
        <v>0</v>
      </c>
      <c r="P132" s="36">
        <f>IFERROR(IF(VLOOKUP($A132,'Wikia | Gehege'!$A:$AL,27,FALSE)=1,VLOOKUP($A132,'Wikia | Gehege'!$A:$AL,19,FALSE),VLOOKUP($A132,'Wikia | Gehege'!$A:$AL,19,FALSE)+VLOOKUP($A132,'Wikia | Gehege'!$A:$AL,27,FALSE)*($H132)-1*$H132),0)</f>
        <v>0</v>
      </c>
      <c r="Q132" s="37">
        <f>IFERROR(IF(VLOOKUP($A132,'Wikia | Gehege'!$A:$AL,27,FALSE)=1,VLOOKUP($A132,'Wikia | Gehege'!$A:$AL,20,FALSE),VLOOKUP($A132,'Wikia | Gehege'!$A:$AL,20,FALSE)+VLOOKUP($A132,'Wikia | Gehege'!$A:$AL,27,FALSE)*($I132)-1*$I132),0)</f>
        <v>0</v>
      </c>
      <c r="R132" s="87"/>
      <c r="S132" s="94"/>
      <c r="T132" s="38">
        <f>IFERROR(VLOOKUP($A132,'Wikia | Gehege'!$A:$AL,17,FALSE)+(($S132-1)*$F132),0)</f>
        <v>188</v>
      </c>
      <c r="U132" s="38">
        <f>IFERROR(VLOOKUP($A132,'Wikia | Gehege'!$A:$AL,18,FALSE)+(($S132-1)*$G132),0)</f>
        <v>0</v>
      </c>
      <c r="V132" s="38">
        <f>IFERROR(VLOOKUP($A132,'Wikia | Gehege'!$A:$AL,19,FALSE)+(($S132-1)*$H132),0)</f>
        <v>0</v>
      </c>
      <c r="W132" s="85">
        <f>IFERROR(VLOOKUP($A132,'Wikia | Gehege'!$A:$AL,20,FALSE)+(($S132-1)*$I132),0)</f>
        <v>0</v>
      </c>
      <c r="X132" s="87"/>
    </row>
    <row r="133" spans="1:24" ht="35.1" customHeight="1" x14ac:dyDescent="0.2">
      <c r="A133" s="140" t="str">
        <f>'Wikia | Gehege'!A133</f>
        <v xml:space="preserve">Taiwanischer Schwarzbär </v>
      </c>
      <c r="B133" s="35">
        <v>1090</v>
      </c>
      <c r="C133" s="36">
        <v>56</v>
      </c>
      <c r="D133" s="36">
        <v>0</v>
      </c>
      <c r="E133" s="37">
        <v>0</v>
      </c>
      <c r="F133" s="35">
        <f>IFERROR(B133-VLOOKUP($A133,'Wikia | Gehege'!$A:$AL,17,FALSE),0)</f>
        <v>140</v>
      </c>
      <c r="G133" s="36">
        <f>IFERROR(C133-VLOOKUP($A133,'Wikia | Gehege'!$A:$AL,18,FALSE),0)</f>
        <v>16</v>
      </c>
      <c r="H133" s="36">
        <f>IFERROR(D133-VLOOKUP($A133,'Wikia | Gehege'!$A:$AL,19,FALSE),0)</f>
        <v>0</v>
      </c>
      <c r="I133" s="37">
        <f>IFERROR(E133-VLOOKUP($A133,'Wikia | Gehege'!$A:$AL,20,FALSE),0)</f>
        <v>0</v>
      </c>
      <c r="J133" s="35">
        <f>IFERROR(IF(VLOOKUP($A133,'Wikia | Gehege'!$A:$AL,26,FALSE)=1,VLOOKUP($A133,'Wikia | Gehege'!$A:$AL,17,FALSE),VLOOKUP($A133,'Wikia | Gehege'!$A:$AL,17,FALSE)+VLOOKUP($A133,'Wikia | Gehege'!$A:$AL,26,FALSE)*($F133)-1*$F133),0)</f>
        <v>950</v>
      </c>
      <c r="K133" s="36">
        <f>IFERROR(IF(VLOOKUP($A133,'Wikia | Gehege'!$A:$AL,26,FALSE)=1,VLOOKUP($A133,'Wikia | Gehege'!$A:$AL,18,FALSE),VLOOKUP($A133,'Wikia | Gehege'!$A:$AL,18,FALSE)+VLOOKUP($A133,'Wikia | Gehege'!$A:$AL,26,FALSE)*($G133)-1*$G133),0)</f>
        <v>40</v>
      </c>
      <c r="L133" s="36">
        <f>IFERROR(IF(VLOOKUP($A133,'Wikia | Gehege'!$A:$AL,26,FALSE)=1,VLOOKUP($A133,'Wikia | Gehege'!$A:$AL,19,FALSE),VLOOKUP($A133,'Wikia | Gehege'!$A:$AL,19,FALSE)+VLOOKUP($A133,'Wikia | Gehege'!$A:$AL,26,FALSE)*($H133)-1*$H133),0)</f>
        <v>0</v>
      </c>
      <c r="M133" s="37">
        <f>IFERROR(IF(VLOOKUP($A133,'Wikia | Gehege'!$A:$AL,26,FALSE)=1,VLOOKUP($A133,'Wikia | Gehege'!$A:$AL,20,FALSE),VLOOKUP($A133,'Wikia | Gehege'!$A:$AL,20,FALSE)+VLOOKUP($A133,'Wikia | Gehege'!$A:$AL,26,FALSE)*($I133)-1*$I133),0)</f>
        <v>0</v>
      </c>
      <c r="N133" s="35">
        <f>IFERROR(IF(VLOOKUP($A133,'Wikia | Gehege'!$A:$AL,27,FALSE)=1,VLOOKUP($A133,'Wikia | Gehege'!$A:$AL,17,FALSE),VLOOKUP($A133,'Wikia | Gehege'!$A:$AL,17,FALSE)+VLOOKUP($A133,'Wikia | Gehege'!$A:$AL,27,FALSE)*($F133)-1*$F133),0)</f>
        <v>1090</v>
      </c>
      <c r="O133" s="36">
        <f>IFERROR(IF(VLOOKUP($A133,'Wikia | Gehege'!$A:$AL,27,FALSE)=1,VLOOKUP($A133,'Wikia | Gehege'!$A:$AL,18,FALSE),VLOOKUP($A133,'Wikia | Gehege'!$A:$AL,18,FALSE)+VLOOKUP($A133,'Wikia | Gehege'!$A:$AL,27,FALSE)*($G133)-1*$G133),0)</f>
        <v>56</v>
      </c>
      <c r="P133" s="36">
        <f>IFERROR(IF(VLOOKUP($A133,'Wikia | Gehege'!$A:$AL,27,FALSE)=1,VLOOKUP($A133,'Wikia | Gehege'!$A:$AL,19,FALSE),VLOOKUP($A133,'Wikia | Gehege'!$A:$AL,19,FALSE)+VLOOKUP($A133,'Wikia | Gehege'!$A:$AL,27,FALSE)*($H133)-1*$H133),0)</f>
        <v>0</v>
      </c>
      <c r="Q133" s="37">
        <f>IFERROR(IF(VLOOKUP($A133,'Wikia | Gehege'!$A:$AL,27,FALSE)=1,VLOOKUP($A133,'Wikia | Gehege'!$A:$AL,20,FALSE),VLOOKUP($A133,'Wikia | Gehege'!$A:$AL,20,FALSE)+VLOOKUP($A133,'Wikia | Gehege'!$A:$AL,27,FALSE)*($I133)-1*$I133),0)</f>
        <v>0</v>
      </c>
      <c r="R133" s="87"/>
      <c r="S133" s="94"/>
      <c r="T133" s="38">
        <f>IFERROR(VLOOKUP($A133,'Wikia | Gehege'!$A:$AL,17,FALSE)+(($S133-1)*$F133),0)</f>
        <v>810</v>
      </c>
      <c r="U133" s="38">
        <f>IFERROR(VLOOKUP($A133,'Wikia | Gehege'!$A:$AL,18,FALSE)+(($S133-1)*$G133),0)</f>
        <v>24</v>
      </c>
      <c r="V133" s="38">
        <f>IFERROR(VLOOKUP($A133,'Wikia | Gehege'!$A:$AL,19,FALSE)+(($S133-1)*$H133),0)</f>
        <v>0</v>
      </c>
      <c r="W133" s="85">
        <f>IFERROR(VLOOKUP($A133,'Wikia | Gehege'!$A:$AL,20,FALSE)+(($S133-1)*$I133),0)</f>
        <v>0</v>
      </c>
      <c r="X133" s="87"/>
    </row>
    <row r="134" spans="1:24" ht="35.1" customHeight="1" x14ac:dyDescent="0.2">
      <c r="A134" s="140" t="str">
        <f>'Wikia | Gehege'!A134</f>
        <v>Takin</v>
      </c>
      <c r="B134" s="35">
        <v>450</v>
      </c>
      <c r="C134" s="36">
        <v>0</v>
      </c>
      <c r="D134" s="36">
        <v>0</v>
      </c>
      <c r="E134" s="37">
        <v>0</v>
      </c>
      <c r="F134" s="35">
        <f>IFERROR(B134-VLOOKUP($A134,'Wikia | Gehege'!$A:$AL,17,FALSE),0)</f>
        <v>60</v>
      </c>
      <c r="G134" s="36">
        <f>IFERROR(C134-VLOOKUP($A134,'Wikia | Gehege'!$A:$AL,18,FALSE),0)</f>
        <v>0</v>
      </c>
      <c r="H134" s="36">
        <f>IFERROR(D134-VLOOKUP($A134,'Wikia | Gehege'!$A:$AL,19,FALSE),0)</f>
        <v>0</v>
      </c>
      <c r="I134" s="37">
        <f>IFERROR(E134-VLOOKUP($A134,'Wikia | Gehege'!$A:$AL,20,FALSE),0)</f>
        <v>0</v>
      </c>
      <c r="J134" s="35">
        <f>IFERROR(IF(VLOOKUP($A134,'Wikia | Gehege'!$A:$AL,26,FALSE)=1,VLOOKUP($A134,'Wikia | Gehege'!$A:$AL,17,FALSE),VLOOKUP($A134,'Wikia | Gehege'!$A:$AL,17,FALSE)+VLOOKUP($A134,'Wikia | Gehege'!$A:$AL,26,FALSE)*($F134)-1*$F134),0)</f>
        <v>450</v>
      </c>
      <c r="K134" s="36">
        <f>IFERROR(IF(VLOOKUP($A134,'Wikia | Gehege'!$A:$AL,26,FALSE)=1,VLOOKUP($A134,'Wikia | Gehege'!$A:$AL,18,FALSE),VLOOKUP($A134,'Wikia | Gehege'!$A:$AL,18,FALSE)+VLOOKUP($A134,'Wikia | Gehege'!$A:$AL,26,FALSE)*($G134)-1*$G134),0)</f>
        <v>0</v>
      </c>
      <c r="L134" s="36">
        <f>IFERROR(IF(VLOOKUP($A134,'Wikia | Gehege'!$A:$AL,26,FALSE)=1,VLOOKUP($A134,'Wikia | Gehege'!$A:$AL,19,FALSE),VLOOKUP($A134,'Wikia | Gehege'!$A:$AL,19,FALSE)+VLOOKUP($A134,'Wikia | Gehege'!$A:$AL,26,FALSE)*($H134)-1*$H134),0)</f>
        <v>0</v>
      </c>
      <c r="M134" s="37">
        <f>IFERROR(IF(VLOOKUP($A134,'Wikia | Gehege'!$A:$AL,26,FALSE)=1,VLOOKUP($A134,'Wikia | Gehege'!$A:$AL,20,FALSE),VLOOKUP($A134,'Wikia | Gehege'!$A:$AL,20,FALSE)+VLOOKUP($A134,'Wikia | Gehege'!$A:$AL,26,FALSE)*($I134)-1*$I134),0)</f>
        <v>0</v>
      </c>
      <c r="N134" s="35">
        <f>IFERROR(IF(VLOOKUP($A134,'Wikia | Gehege'!$A:$AL,27,FALSE)=1,VLOOKUP($A134,'Wikia | Gehege'!$A:$AL,17,FALSE),VLOOKUP($A134,'Wikia | Gehege'!$A:$AL,17,FALSE)+VLOOKUP($A134,'Wikia | Gehege'!$A:$AL,27,FALSE)*($F134)-1*$F134),0)</f>
        <v>1530</v>
      </c>
      <c r="O134" s="36">
        <f>IFERROR(IF(VLOOKUP($A134,'Wikia | Gehege'!$A:$AL,27,FALSE)=1,VLOOKUP($A134,'Wikia | Gehege'!$A:$AL,18,FALSE),VLOOKUP($A134,'Wikia | Gehege'!$A:$AL,18,FALSE)+VLOOKUP($A134,'Wikia | Gehege'!$A:$AL,27,FALSE)*($G134)-1*$G134),0)</f>
        <v>0</v>
      </c>
      <c r="P134" s="36">
        <f>IFERROR(IF(VLOOKUP($A134,'Wikia | Gehege'!$A:$AL,27,FALSE)=1,VLOOKUP($A134,'Wikia | Gehege'!$A:$AL,19,FALSE),VLOOKUP($A134,'Wikia | Gehege'!$A:$AL,19,FALSE)+VLOOKUP($A134,'Wikia | Gehege'!$A:$AL,27,FALSE)*($H134)-1*$H134),0)</f>
        <v>0</v>
      </c>
      <c r="Q134" s="37">
        <f>IFERROR(IF(VLOOKUP($A134,'Wikia | Gehege'!$A:$AL,27,FALSE)=1,VLOOKUP($A134,'Wikia | Gehege'!$A:$AL,20,FALSE),VLOOKUP($A134,'Wikia | Gehege'!$A:$AL,20,FALSE)+VLOOKUP($A134,'Wikia | Gehege'!$A:$AL,27,FALSE)*($I134)-1*$I134),0)</f>
        <v>0</v>
      </c>
      <c r="R134" s="87"/>
      <c r="S134" s="94"/>
      <c r="T134" s="38">
        <f>IFERROR(VLOOKUP($A134,'Wikia | Gehege'!$A:$AL,17,FALSE)+(($S134-1)*$F134),0)</f>
        <v>330</v>
      </c>
      <c r="U134" s="38">
        <f>IFERROR(VLOOKUP($A134,'Wikia | Gehege'!$A:$AL,18,FALSE)+(($S134-1)*$G134),0)</f>
        <v>0</v>
      </c>
      <c r="V134" s="38">
        <f>IFERROR(VLOOKUP($A134,'Wikia | Gehege'!$A:$AL,19,FALSE)+(($S134-1)*$H134),0)</f>
        <v>0</v>
      </c>
      <c r="W134" s="85">
        <f>IFERROR(VLOOKUP($A134,'Wikia | Gehege'!$A:$AL,20,FALSE)+(($S134-1)*$I134),0)</f>
        <v>0</v>
      </c>
      <c r="X134" s="87"/>
    </row>
    <row r="135" spans="1:24" ht="35.1" customHeight="1" x14ac:dyDescent="0.2">
      <c r="A135" s="140" t="str">
        <f>'Wikia | Gehege'!A135</f>
        <v>Tamworth Schwein</v>
      </c>
      <c r="B135" s="35">
        <v>310</v>
      </c>
      <c r="C135" s="36">
        <v>0</v>
      </c>
      <c r="D135" s="36">
        <v>0</v>
      </c>
      <c r="E135" s="37">
        <v>0</v>
      </c>
      <c r="F135" s="35">
        <f>IFERROR(B135-VLOOKUP($A135,'Wikia | Gehege'!$A:$AL,17,FALSE),0)</f>
        <v>20</v>
      </c>
      <c r="G135" s="36">
        <f>IFERROR(C135-VLOOKUP($A135,'Wikia | Gehege'!$A:$AL,18,FALSE),0)</f>
        <v>0</v>
      </c>
      <c r="H135" s="36">
        <f>IFERROR(D135-VLOOKUP($A135,'Wikia | Gehege'!$A:$AL,19,FALSE),0)</f>
        <v>0</v>
      </c>
      <c r="I135" s="37">
        <f>IFERROR(E135-VLOOKUP($A135,'Wikia | Gehege'!$A:$AL,20,FALSE),0)</f>
        <v>0</v>
      </c>
      <c r="J135" s="35">
        <f>IFERROR(IF(VLOOKUP($A135,'Wikia | Gehege'!$A:$AL,26,FALSE)=1,VLOOKUP($A135,'Wikia | Gehege'!$A:$AL,17,FALSE),VLOOKUP($A135,'Wikia | Gehege'!$A:$AL,17,FALSE)+VLOOKUP($A135,'Wikia | Gehege'!$A:$AL,26,FALSE)*($F135)-1*$F135),0)</f>
        <v>290</v>
      </c>
      <c r="K135" s="36">
        <f>IFERROR(IF(VLOOKUP($A135,'Wikia | Gehege'!$A:$AL,26,FALSE)=1,VLOOKUP($A135,'Wikia | Gehege'!$A:$AL,18,FALSE),VLOOKUP($A135,'Wikia | Gehege'!$A:$AL,18,FALSE)+VLOOKUP($A135,'Wikia | Gehege'!$A:$AL,26,FALSE)*($G135)-1*$G135),0)</f>
        <v>0</v>
      </c>
      <c r="L135" s="36">
        <f>IFERROR(IF(VLOOKUP($A135,'Wikia | Gehege'!$A:$AL,26,FALSE)=1,VLOOKUP($A135,'Wikia | Gehege'!$A:$AL,19,FALSE),VLOOKUP($A135,'Wikia | Gehege'!$A:$AL,19,FALSE)+VLOOKUP($A135,'Wikia | Gehege'!$A:$AL,26,FALSE)*($H135)-1*$H135),0)</f>
        <v>0</v>
      </c>
      <c r="M135" s="37">
        <f>IFERROR(IF(VLOOKUP($A135,'Wikia | Gehege'!$A:$AL,26,FALSE)=1,VLOOKUP($A135,'Wikia | Gehege'!$A:$AL,20,FALSE),VLOOKUP($A135,'Wikia | Gehege'!$A:$AL,20,FALSE)+VLOOKUP($A135,'Wikia | Gehege'!$A:$AL,26,FALSE)*($I135)-1*$I135),0)</f>
        <v>0</v>
      </c>
      <c r="N135" s="35">
        <f>IFERROR(IF(VLOOKUP($A135,'Wikia | Gehege'!$A:$AL,27,FALSE)=1,VLOOKUP($A135,'Wikia | Gehege'!$A:$AL,17,FALSE),VLOOKUP($A135,'Wikia | Gehege'!$A:$AL,17,FALSE)+VLOOKUP($A135,'Wikia | Gehege'!$A:$AL,27,FALSE)*($F135)-1*$F135),0)</f>
        <v>370</v>
      </c>
      <c r="O135" s="36">
        <f>IFERROR(IF(VLOOKUP($A135,'Wikia | Gehege'!$A:$AL,27,FALSE)=1,VLOOKUP($A135,'Wikia | Gehege'!$A:$AL,18,FALSE),VLOOKUP($A135,'Wikia | Gehege'!$A:$AL,18,FALSE)+VLOOKUP($A135,'Wikia | Gehege'!$A:$AL,27,FALSE)*($G135)-1*$G135),0)</f>
        <v>0</v>
      </c>
      <c r="P135" s="36">
        <f>IFERROR(IF(VLOOKUP($A135,'Wikia | Gehege'!$A:$AL,27,FALSE)=1,VLOOKUP($A135,'Wikia | Gehege'!$A:$AL,19,FALSE),VLOOKUP($A135,'Wikia | Gehege'!$A:$AL,19,FALSE)+VLOOKUP($A135,'Wikia | Gehege'!$A:$AL,27,FALSE)*($H135)-1*$H135),0)</f>
        <v>0</v>
      </c>
      <c r="Q135" s="37">
        <f>IFERROR(IF(VLOOKUP($A135,'Wikia | Gehege'!$A:$AL,27,FALSE)=1,VLOOKUP($A135,'Wikia | Gehege'!$A:$AL,20,FALSE),VLOOKUP($A135,'Wikia | Gehege'!$A:$AL,20,FALSE)+VLOOKUP($A135,'Wikia | Gehege'!$A:$AL,27,FALSE)*($I135)-1*$I135),0)</f>
        <v>0</v>
      </c>
      <c r="R135" s="87"/>
      <c r="S135" s="94"/>
      <c r="T135" s="38">
        <f>IFERROR(VLOOKUP($A135,'Wikia | Gehege'!$A:$AL,17,FALSE)+(($S135-1)*$F135),0)</f>
        <v>270</v>
      </c>
      <c r="U135" s="38">
        <f>IFERROR(VLOOKUP($A135,'Wikia | Gehege'!$A:$AL,18,FALSE)+(($S135-1)*$G135),0)</f>
        <v>0</v>
      </c>
      <c r="V135" s="38">
        <f>IFERROR(VLOOKUP($A135,'Wikia | Gehege'!$A:$AL,19,FALSE)+(($S135-1)*$H135),0)</f>
        <v>0</v>
      </c>
      <c r="W135" s="85">
        <f>IFERROR(VLOOKUP($A135,'Wikia | Gehege'!$A:$AL,20,FALSE)+(($S135-1)*$I135),0)</f>
        <v>0</v>
      </c>
      <c r="X135" s="87"/>
    </row>
    <row r="136" spans="1:24" ht="35.1" customHeight="1" x14ac:dyDescent="0.2">
      <c r="A136" s="140" t="str">
        <f>'Wikia | Gehege'!A136</f>
        <v>Tasmanischer Teufel</v>
      </c>
      <c r="B136" s="35">
        <v>290</v>
      </c>
      <c r="C136" s="36">
        <v>0</v>
      </c>
      <c r="D136" s="36">
        <v>0</v>
      </c>
      <c r="E136" s="37">
        <v>0</v>
      </c>
      <c r="F136" s="35">
        <f>IFERROR(B136-VLOOKUP($A136,'Wikia | Gehege'!$A:$AL,17,FALSE),0)</f>
        <v>90</v>
      </c>
      <c r="G136" s="36">
        <f>IFERROR(C136-VLOOKUP($A136,'Wikia | Gehege'!$A:$AL,18,FALSE),0)</f>
        <v>0</v>
      </c>
      <c r="H136" s="36">
        <f>IFERROR(D136-VLOOKUP($A136,'Wikia | Gehege'!$A:$AL,19,FALSE),0)</f>
        <v>0</v>
      </c>
      <c r="I136" s="37">
        <f>IFERROR(E136-VLOOKUP($A136,'Wikia | Gehege'!$A:$AL,20,FALSE),0)</f>
        <v>0</v>
      </c>
      <c r="J136" s="35">
        <f>IFERROR(IF(VLOOKUP($A136,'Wikia | Gehege'!$A:$AL,26,FALSE)=1,VLOOKUP($A136,'Wikia | Gehege'!$A:$AL,17,FALSE),VLOOKUP($A136,'Wikia | Gehege'!$A:$AL,17,FALSE)+VLOOKUP($A136,'Wikia | Gehege'!$A:$AL,26,FALSE)*($F136)-1*$F136),0)</f>
        <v>200</v>
      </c>
      <c r="K136" s="36">
        <f>IFERROR(IF(VLOOKUP($A136,'Wikia | Gehege'!$A:$AL,26,FALSE)=1,VLOOKUP($A136,'Wikia | Gehege'!$A:$AL,18,FALSE),VLOOKUP($A136,'Wikia | Gehege'!$A:$AL,18,FALSE)+VLOOKUP($A136,'Wikia | Gehege'!$A:$AL,26,FALSE)*($G136)-1*$G136),0)</f>
        <v>0</v>
      </c>
      <c r="L136" s="36">
        <f>IFERROR(IF(VLOOKUP($A136,'Wikia | Gehege'!$A:$AL,26,FALSE)=1,VLOOKUP($A136,'Wikia | Gehege'!$A:$AL,19,FALSE),VLOOKUP($A136,'Wikia | Gehege'!$A:$AL,19,FALSE)+VLOOKUP($A136,'Wikia | Gehege'!$A:$AL,26,FALSE)*($H136)-1*$H136),0)</f>
        <v>0</v>
      </c>
      <c r="M136" s="37">
        <f>IFERROR(IF(VLOOKUP($A136,'Wikia | Gehege'!$A:$AL,26,FALSE)=1,VLOOKUP($A136,'Wikia | Gehege'!$A:$AL,20,FALSE),VLOOKUP($A136,'Wikia | Gehege'!$A:$AL,20,FALSE)+VLOOKUP($A136,'Wikia | Gehege'!$A:$AL,26,FALSE)*($I136)-1*$I136),0)</f>
        <v>0</v>
      </c>
      <c r="N136" s="35">
        <f>IFERROR(IF(VLOOKUP($A136,'Wikia | Gehege'!$A:$AL,27,FALSE)=1,VLOOKUP($A136,'Wikia | Gehege'!$A:$AL,17,FALSE),VLOOKUP($A136,'Wikia | Gehege'!$A:$AL,17,FALSE)+VLOOKUP($A136,'Wikia | Gehege'!$A:$AL,27,FALSE)*($F136)-1*$F136),0)</f>
        <v>560</v>
      </c>
      <c r="O136" s="36">
        <f>IFERROR(IF(VLOOKUP($A136,'Wikia | Gehege'!$A:$AL,27,FALSE)=1,VLOOKUP($A136,'Wikia | Gehege'!$A:$AL,18,FALSE),VLOOKUP($A136,'Wikia | Gehege'!$A:$AL,18,FALSE)+VLOOKUP($A136,'Wikia | Gehege'!$A:$AL,27,FALSE)*($G136)-1*$G136),0)</f>
        <v>0</v>
      </c>
      <c r="P136" s="36">
        <f>IFERROR(IF(VLOOKUP($A136,'Wikia | Gehege'!$A:$AL,27,FALSE)=1,VLOOKUP($A136,'Wikia | Gehege'!$A:$AL,19,FALSE),VLOOKUP($A136,'Wikia | Gehege'!$A:$AL,19,FALSE)+VLOOKUP($A136,'Wikia | Gehege'!$A:$AL,27,FALSE)*($H136)-1*$H136),0)</f>
        <v>0</v>
      </c>
      <c r="Q136" s="37">
        <f>IFERROR(IF(VLOOKUP($A136,'Wikia | Gehege'!$A:$AL,27,FALSE)=1,VLOOKUP($A136,'Wikia | Gehege'!$A:$AL,20,FALSE),VLOOKUP($A136,'Wikia | Gehege'!$A:$AL,20,FALSE)+VLOOKUP($A136,'Wikia | Gehege'!$A:$AL,27,FALSE)*($I136)-1*$I136),0)</f>
        <v>0</v>
      </c>
      <c r="R136" s="87"/>
      <c r="S136" s="94"/>
      <c r="T136" s="38">
        <f>IFERROR(VLOOKUP($A136,'Wikia | Gehege'!$A:$AL,17,FALSE)+(($S136-1)*$F136),0)</f>
        <v>110</v>
      </c>
      <c r="U136" s="38">
        <f>IFERROR(VLOOKUP($A136,'Wikia | Gehege'!$A:$AL,18,FALSE)+(($S136-1)*$G136),0)</f>
        <v>0</v>
      </c>
      <c r="V136" s="38">
        <f>IFERROR(VLOOKUP($A136,'Wikia | Gehege'!$A:$AL,19,FALSE)+(($S136-1)*$H136),0)</f>
        <v>0</v>
      </c>
      <c r="W136" s="85">
        <f>IFERROR(VLOOKUP($A136,'Wikia | Gehege'!$A:$AL,20,FALSE)+(($S136-1)*$I136),0)</f>
        <v>0</v>
      </c>
      <c r="X136" s="87"/>
    </row>
    <row r="137" spans="1:24" ht="35.1" customHeight="1" x14ac:dyDescent="0.2">
      <c r="A137" s="140" t="str">
        <f>'Wikia | Gehege'!A137</f>
        <v>Thomson-Gazelle</v>
      </c>
      <c r="B137" s="35">
        <v>480</v>
      </c>
      <c r="C137" s="36">
        <v>0</v>
      </c>
      <c r="D137" s="36">
        <v>0</v>
      </c>
      <c r="E137" s="37">
        <v>0</v>
      </c>
      <c r="F137" s="35">
        <f>IFERROR(B137-VLOOKUP($A137,'Wikia | Gehege'!$A:$AL,17,FALSE),0)</f>
        <v>55</v>
      </c>
      <c r="G137" s="36">
        <f>IFERROR(C137-VLOOKUP($A137,'Wikia | Gehege'!$A:$AL,18,FALSE),0)</f>
        <v>0</v>
      </c>
      <c r="H137" s="36">
        <f>IFERROR(D137-VLOOKUP($A137,'Wikia | Gehege'!$A:$AL,19,FALSE),0)</f>
        <v>0</v>
      </c>
      <c r="I137" s="37">
        <f>IFERROR(E137-VLOOKUP($A137,'Wikia | Gehege'!$A:$AL,20,FALSE),0)</f>
        <v>0</v>
      </c>
      <c r="J137" s="35">
        <f>IFERROR(IF(VLOOKUP($A137,'Wikia | Gehege'!$A:$AL,26,FALSE)=1,VLOOKUP($A137,'Wikia | Gehege'!$A:$AL,17,FALSE),VLOOKUP($A137,'Wikia | Gehege'!$A:$AL,17,FALSE)+VLOOKUP($A137,'Wikia | Gehege'!$A:$AL,26,FALSE)*($F137)-1*$F137),0)</f>
        <v>535</v>
      </c>
      <c r="K137" s="36">
        <f>IFERROR(IF(VLOOKUP($A137,'Wikia | Gehege'!$A:$AL,26,FALSE)=1,VLOOKUP($A137,'Wikia | Gehege'!$A:$AL,18,FALSE),VLOOKUP($A137,'Wikia | Gehege'!$A:$AL,18,FALSE)+VLOOKUP($A137,'Wikia | Gehege'!$A:$AL,26,FALSE)*($G137)-1*$G137),0)</f>
        <v>0</v>
      </c>
      <c r="L137" s="36">
        <f>IFERROR(IF(VLOOKUP($A137,'Wikia | Gehege'!$A:$AL,26,FALSE)=1,VLOOKUP($A137,'Wikia | Gehege'!$A:$AL,19,FALSE),VLOOKUP($A137,'Wikia | Gehege'!$A:$AL,19,FALSE)+VLOOKUP($A137,'Wikia | Gehege'!$A:$AL,26,FALSE)*($H137)-1*$H137),0)</f>
        <v>0</v>
      </c>
      <c r="M137" s="37">
        <f>IFERROR(IF(VLOOKUP($A137,'Wikia | Gehege'!$A:$AL,26,FALSE)=1,VLOOKUP($A137,'Wikia | Gehege'!$A:$AL,20,FALSE),VLOOKUP($A137,'Wikia | Gehege'!$A:$AL,20,FALSE)+VLOOKUP($A137,'Wikia | Gehege'!$A:$AL,26,FALSE)*($I137)-1*$I137),0)</f>
        <v>0</v>
      </c>
      <c r="N137" s="35">
        <f>IFERROR(IF(VLOOKUP($A137,'Wikia | Gehege'!$A:$AL,27,FALSE)=1,VLOOKUP($A137,'Wikia | Gehege'!$A:$AL,17,FALSE),VLOOKUP($A137,'Wikia | Gehege'!$A:$AL,17,FALSE)+VLOOKUP($A137,'Wikia | Gehege'!$A:$AL,27,FALSE)*($F137)-1*$F137),0)</f>
        <v>2350</v>
      </c>
      <c r="O137" s="36">
        <f>IFERROR(IF(VLOOKUP($A137,'Wikia | Gehege'!$A:$AL,27,FALSE)=1,VLOOKUP($A137,'Wikia | Gehege'!$A:$AL,18,FALSE),VLOOKUP($A137,'Wikia | Gehege'!$A:$AL,18,FALSE)+VLOOKUP($A137,'Wikia | Gehege'!$A:$AL,27,FALSE)*($G137)-1*$G137),0)</f>
        <v>0</v>
      </c>
      <c r="P137" s="36">
        <f>IFERROR(IF(VLOOKUP($A137,'Wikia | Gehege'!$A:$AL,27,FALSE)=1,VLOOKUP($A137,'Wikia | Gehege'!$A:$AL,19,FALSE),VLOOKUP($A137,'Wikia | Gehege'!$A:$AL,19,FALSE)+VLOOKUP($A137,'Wikia | Gehege'!$A:$AL,27,FALSE)*($H137)-1*$H137),0)</f>
        <v>0</v>
      </c>
      <c r="Q137" s="37">
        <f>IFERROR(IF(VLOOKUP($A137,'Wikia | Gehege'!$A:$AL,27,FALSE)=1,VLOOKUP($A137,'Wikia | Gehege'!$A:$AL,20,FALSE),VLOOKUP($A137,'Wikia | Gehege'!$A:$AL,20,FALSE)+VLOOKUP($A137,'Wikia | Gehege'!$A:$AL,27,FALSE)*($I137)-1*$I137),0)</f>
        <v>0</v>
      </c>
      <c r="R137" s="87"/>
      <c r="S137" s="94"/>
      <c r="T137" s="38">
        <f>IFERROR(VLOOKUP($A137,'Wikia | Gehege'!$A:$AL,17,FALSE)+(($S137-1)*$F137),0)</f>
        <v>370</v>
      </c>
      <c r="U137" s="38">
        <f>IFERROR(VLOOKUP($A137,'Wikia | Gehege'!$A:$AL,18,FALSE)+(($S137-1)*$G137),0)</f>
        <v>0</v>
      </c>
      <c r="V137" s="38">
        <f>IFERROR(VLOOKUP($A137,'Wikia | Gehege'!$A:$AL,19,FALSE)+(($S137-1)*$H137),0)</f>
        <v>0</v>
      </c>
      <c r="W137" s="85">
        <f>IFERROR(VLOOKUP($A137,'Wikia | Gehege'!$A:$AL,20,FALSE)+(($S137-1)*$I137),0)</f>
        <v>0</v>
      </c>
      <c r="X137" s="87"/>
    </row>
    <row r="138" spans="1:24" ht="35.1" customHeight="1" x14ac:dyDescent="0.2">
      <c r="A138" s="140" t="str">
        <f>'Wikia | Gehege'!A138</f>
        <v>Timberwolf</v>
      </c>
      <c r="B138" s="35">
        <v>1254</v>
      </c>
      <c r="C138" s="36">
        <v>0</v>
      </c>
      <c r="D138" s="36">
        <v>0</v>
      </c>
      <c r="E138" s="37">
        <v>0</v>
      </c>
      <c r="F138" s="35">
        <f>IFERROR(B138-VLOOKUP($A138,'Wikia | Gehege'!$A:$AL,17,FALSE),0)</f>
        <v>92</v>
      </c>
      <c r="G138" s="36">
        <f>IFERROR(C138-VLOOKUP($A138,'Wikia | Gehege'!$A:$AL,18,FALSE),0)</f>
        <v>0</v>
      </c>
      <c r="H138" s="36">
        <f>IFERROR(D138-VLOOKUP($A138,'Wikia | Gehege'!$A:$AL,19,FALSE),0)</f>
        <v>0</v>
      </c>
      <c r="I138" s="37">
        <f>IFERROR(E138-VLOOKUP($A138,'Wikia | Gehege'!$A:$AL,20,FALSE),0)</f>
        <v>0</v>
      </c>
      <c r="J138" s="35">
        <f>IFERROR(IF(VLOOKUP($A138,'Wikia | Gehege'!$A:$AL,26,FALSE)=1,VLOOKUP($A138,'Wikia | Gehege'!$A:$AL,17,FALSE),VLOOKUP($A138,'Wikia | Gehege'!$A:$AL,17,FALSE)+VLOOKUP($A138,'Wikia | Gehege'!$A:$AL,26,FALSE)*($F138)-1*$F138),0)</f>
        <v>1254</v>
      </c>
      <c r="K138" s="36">
        <f>IFERROR(IF(VLOOKUP($A138,'Wikia | Gehege'!$A:$AL,26,FALSE)=1,VLOOKUP($A138,'Wikia | Gehege'!$A:$AL,18,FALSE),VLOOKUP($A138,'Wikia | Gehege'!$A:$AL,18,FALSE)+VLOOKUP($A138,'Wikia | Gehege'!$A:$AL,26,FALSE)*($G138)-1*$G138),0)</f>
        <v>0</v>
      </c>
      <c r="L138" s="36">
        <f>IFERROR(IF(VLOOKUP($A138,'Wikia | Gehege'!$A:$AL,26,FALSE)=1,VLOOKUP($A138,'Wikia | Gehege'!$A:$AL,19,FALSE),VLOOKUP($A138,'Wikia | Gehege'!$A:$AL,19,FALSE)+VLOOKUP($A138,'Wikia | Gehege'!$A:$AL,26,FALSE)*($H138)-1*$H138),0)</f>
        <v>0</v>
      </c>
      <c r="M138" s="37">
        <f>IFERROR(IF(VLOOKUP($A138,'Wikia | Gehege'!$A:$AL,26,FALSE)=1,VLOOKUP($A138,'Wikia | Gehege'!$A:$AL,20,FALSE),VLOOKUP($A138,'Wikia | Gehege'!$A:$AL,20,FALSE)+VLOOKUP($A138,'Wikia | Gehege'!$A:$AL,26,FALSE)*($I138)-1*$I138),0)</f>
        <v>0</v>
      </c>
      <c r="N138" s="35">
        <f>IFERROR(IF(VLOOKUP($A138,'Wikia | Gehege'!$A:$AL,27,FALSE)=1,VLOOKUP($A138,'Wikia | Gehege'!$A:$AL,17,FALSE),VLOOKUP($A138,'Wikia | Gehege'!$A:$AL,17,FALSE)+VLOOKUP($A138,'Wikia | Gehege'!$A:$AL,27,FALSE)*($F138)-1*$F138),0)</f>
        <v>2174</v>
      </c>
      <c r="O138" s="36">
        <f>IFERROR(IF(VLOOKUP($A138,'Wikia | Gehege'!$A:$AL,27,FALSE)=1,VLOOKUP($A138,'Wikia | Gehege'!$A:$AL,18,FALSE),VLOOKUP($A138,'Wikia | Gehege'!$A:$AL,18,FALSE)+VLOOKUP($A138,'Wikia | Gehege'!$A:$AL,27,FALSE)*($G138)-1*$G138),0)</f>
        <v>0</v>
      </c>
      <c r="P138" s="36">
        <f>IFERROR(IF(VLOOKUP($A138,'Wikia | Gehege'!$A:$AL,27,FALSE)=1,VLOOKUP($A138,'Wikia | Gehege'!$A:$AL,19,FALSE),VLOOKUP($A138,'Wikia | Gehege'!$A:$AL,19,FALSE)+VLOOKUP($A138,'Wikia | Gehege'!$A:$AL,27,FALSE)*($H138)-1*$H138),0)</f>
        <v>0</v>
      </c>
      <c r="Q138" s="37">
        <f>IFERROR(IF(VLOOKUP($A138,'Wikia | Gehege'!$A:$AL,27,FALSE)=1,VLOOKUP($A138,'Wikia | Gehege'!$A:$AL,20,FALSE),VLOOKUP($A138,'Wikia | Gehege'!$A:$AL,20,FALSE)+VLOOKUP($A138,'Wikia | Gehege'!$A:$AL,27,FALSE)*($I138)-1*$I138),0)</f>
        <v>0</v>
      </c>
      <c r="R138" s="87"/>
      <c r="S138" s="94"/>
      <c r="T138" s="38">
        <f>IFERROR(VLOOKUP($A138,'Wikia | Gehege'!$A:$AL,17,FALSE)+(($S138-1)*$F138),0)</f>
        <v>1070</v>
      </c>
      <c r="U138" s="38">
        <f>IFERROR(VLOOKUP($A138,'Wikia | Gehege'!$A:$AL,18,FALSE)+(($S138-1)*$G138),0)</f>
        <v>0</v>
      </c>
      <c r="V138" s="38">
        <f>IFERROR(VLOOKUP($A138,'Wikia | Gehege'!$A:$AL,19,FALSE)+(($S138-1)*$H138),0)</f>
        <v>0</v>
      </c>
      <c r="W138" s="85">
        <f>IFERROR(VLOOKUP($A138,'Wikia | Gehege'!$A:$AL,20,FALSE)+(($S138-1)*$I138),0)</f>
        <v>0</v>
      </c>
      <c r="X138" s="87"/>
    </row>
    <row r="139" spans="1:24" ht="35.1" customHeight="1" x14ac:dyDescent="0.2">
      <c r="A139" s="140" t="str">
        <f>'Wikia | Gehege'!A139</f>
        <v xml:space="preserve">Trampeltier </v>
      </c>
      <c r="B139" s="35">
        <v>750</v>
      </c>
      <c r="C139" s="36">
        <v>0</v>
      </c>
      <c r="D139" s="36">
        <v>0</v>
      </c>
      <c r="E139" s="37">
        <v>0</v>
      </c>
      <c r="F139" s="35">
        <f>IFERROR(B139-VLOOKUP($A139,'Wikia | Gehege'!$A:$AL,17,FALSE),0)</f>
        <v>100</v>
      </c>
      <c r="G139" s="36">
        <f>IFERROR(C139-VLOOKUP($A139,'Wikia | Gehege'!$A:$AL,18,FALSE),0)</f>
        <v>0</v>
      </c>
      <c r="H139" s="36">
        <f>IFERROR(D139-VLOOKUP($A139,'Wikia | Gehege'!$A:$AL,19,FALSE),0)</f>
        <v>0</v>
      </c>
      <c r="I139" s="37">
        <f>IFERROR(E139-VLOOKUP($A139,'Wikia | Gehege'!$A:$AL,20,FALSE),0)</f>
        <v>0</v>
      </c>
      <c r="J139" s="35">
        <f>IFERROR(IF(VLOOKUP($A139,'Wikia | Gehege'!$A:$AL,26,FALSE)=1,VLOOKUP($A139,'Wikia | Gehege'!$A:$AL,17,FALSE),VLOOKUP($A139,'Wikia | Gehege'!$A:$AL,17,FALSE)+VLOOKUP($A139,'Wikia | Gehege'!$A:$AL,26,FALSE)*($F139)-1*$F139),0)</f>
        <v>750</v>
      </c>
      <c r="K139" s="36">
        <f>IFERROR(IF(VLOOKUP($A139,'Wikia | Gehege'!$A:$AL,26,FALSE)=1,VLOOKUP($A139,'Wikia | Gehege'!$A:$AL,18,FALSE),VLOOKUP($A139,'Wikia | Gehege'!$A:$AL,18,FALSE)+VLOOKUP($A139,'Wikia | Gehege'!$A:$AL,26,FALSE)*($G139)-1*$G139),0)</f>
        <v>0</v>
      </c>
      <c r="L139" s="36">
        <f>IFERROR(IF(VLOOKUP($A139,'Wikia | Gehege'!$A:$AL,26,FALSE)=1,VLOOKUP($A139,'Wikia | Gehege'!$A:$AL,19,FALSE),VLOOKUP($A139,'Wikia | Gehege'!$A:$AL,19,FALSE)+VLOOKUP($A139,'Wikia | Gehege'!$A:$AL,26,FALSE)*($H139)-1*$H139),0)</f>
        <v>0</v>
      </c>
      <c r="M139" s="37">
        <f>IFERROR(IF(VLOOKUP($A139,'Wikia | Gehege'!$A:$AL,26,FALSE)=1,VLOOKUP($A139,'Wikia | Gehege'!$A:$AL,20,FALSE),VLOOKUP($A139,'Wikia | Gehege'!$A:$AL,20,FALSE)+VLOOKUP($A139,'Wikia | Gehege'!$A:$AL,26,FALSE)*($I139)-1*$I139),0)</f>
        <v>0</v>
      </c>
      <c r="N139" s="35">
        <f>IFERROR(IF(VLOOKUP($A139,'Wikia | Gehege'!$A:$AL,27,FALSE)=1,VLOOKUP($A139,'Wikia | Gehege'!$A:$AL,17,FALSE),VLOOKUP($A139,'Wikia | Gehege'!$A:$AL,17,FALSE)+VLOOKUP($A139,'Wikia | Gehege'!$A:$AL,27,FALSE)*($F139)-1*$F139),0)</f>
        <v>1650</v>
      </c>
      <c r="O139" s="36">
        <f>IFERROR(IF(VLOOKUP($A139,'Wikia | Gehege'!$A:$AL,27,FALSE)=1,VLOOKUP($A139,'Wikia | Gehege'!$A:$AL,18,FALSE),VLOOKUP($A139,'Wikia | Gehege'!$A:$AL,18,FALSE)+VLOOKUP($A139,'Wikia | Gehege'!$A:$AL,27,FALSE)*($G139)-1*$G139),0)</f>
        <v>0</v>
      </c>
      <c r="P139" s="36">
        <f>IFERROR(IF(VLOOKUP($A139,'Wikia | Gehege'!$A:$AL,27,FALSE)=1,VLOOKUP($A139,'Wikia | Gehege'!$A:$AL,19,FALSE),VLOOKUP($A139,'Wikia | Gehege'!$A:$AL,19,FALSE)+VLOOKUP($A139,'Wikia | Gehege'!$A:$AL,27,FALSE)*($H139)-1*$H139),0)</f>
        <v>0</v>
      </c>
      <c r="Q139" s="37">
        <f>IFERROR(IF(VLOOKUP($A139,'Wikia | Gehege'!$A:$AL,27,FALSE)=1,VLOOKUP($A139,'Wikia | Gehege'!$A:$AL,20,FALSE),VLOOKUP($A139,'Wikia | Gehege'!$A:$AL,20,FALSE)+VLOOKUP($A139,'Wikia | Gehege'!$A:$AL,27,FALSE)*($I139)-1*$I139),0)</f>
        <v>0</v>
      </c>
      <c r="R139" s="87"/>
      <c r="S139" s="94"/>
      <c r="T139" s="38">
        <f>IFERROR(VLOOKUP($A139,'Wikia | Gehege'!$A:$AL,17,FALSE)+(($S139-1)*$F139),0)</f>
        <v>550</v>
      </c>
      <c r="U139" s="38">
        <f>IFERROR(VLOOKUP($A139,'Wikia | Gehege'!$A:$AL,18,FALSE)+(($S139-1)*$G139),0)</f>
        <v>0</v>
      </c>
      <c r="V139" s="38">
        <f>IFERROR(VLOOKUP($A139,'Wikia | Gehege'!$A:$AL,19,FALSE)+(($S139-1)*$H139),0)</f>
        <v>0</v>
      </c>
      <c r="W139" s="85">
        <f>IFERROR(VLOOKUP($A139,'Wikia | Gehege'!$A:$AL,20,FALSE)+(($S139-1)*$I139),0)</f>
        <v>0</v>
      </c>
      <c r="X139" s="87"/>
    </row>
    <row r="140" spans="1:24" ht="35.1" customHeight="1" x14ac:dyDescent="0.2">
      <c r="A140" s="140" t="str">
        <f>'Wikia | Gehege'!A140</f>
        <v xml:space="preserve">Tüpfelhyäne </v>
      </c>
      <c r="B140" s="35">
        <v>1254</v>
      </c>
      <c r="C140" s="36">
        <v>0</v>
      </c>
      <c r="D140" s="36">
        <v>0</v>
      </c>
      <c r="E140" s="37">
        <v>0</v>
      </c>
      <c r="F140" s="35">
        <f>IFERROR(B140-VLOOKUP($A140,'Wikia | Gehege'!$A:$AL,17,FALSE),0)</f>
        <v>92</v>
      </c>
      <c r="G140" s="36">
        <f>IFERROR(C140-VLOOKUP($A140,'Wikia | Gehege'!$A:$AL,18,FALSE),0)</f>
        <v>0</v>
      </c>
      <c r="H140" s="36">
        <f>IFERROR(D140-VLOOKUP($A140,'Wikia | Gehege'!$A:$AL,19,FALSE),0)</f>
        <v>0</v>
      </c>
      <c r="I140" s="37">
        <f>IFERROR(E140-VLOOKUP($A140,'Wikia | Gehege'!$A:$AL,20,FALSE),0)</f>
        <v>0</v>
      </c>
      <c r="J140" s="35">
        <f>IFERROR(IF(VLOOKUP($A140,'Wikia | Gehege'!$A:$AL,26,FALSE)=1,VLOOKUP($A140,'Wikia | Gehege'!$A:$AL,17,FALSE),VLOOKUP($A140,'Wikia | Gehege'!$A:$AL,17,FALSE)+VLOOKUP($A140,'Wikia | Gehege'!$A:$AL,26,FALSE)*($F140)-1*$F140),0)</f>
        <v>1254</v>
      </c>
      <c r="K140" s="36">
        <f>IFERROR(IF(VLOOKUP($A140,'Wikia | Gehege'!$A:$AL,26,FALSE)=1,VLOOKUP($A140,'Wikia | Gehege'!$A:$AL,18,FALSE),VLOOKUP($A140,'Wikia | Gehege'!$A:$AL,18,FALSE)+VLOOKUP($A140,'Wikia | Gehege'!$A:$AL,26,FALSE)*($G140)-1*$G140),0)</f>
        <v>0</v>
      </c>
      <c r="L140" s="36">
        <f>IFERROR(IF(VLOOKUP($A140,'Wikia | Gehege'!$A:$AL,26,FALSE)=1,VLOOKUP($A140,'Wikia | Gehege'!$A:$AL,19,FALSE),VLOOKUP($A140,'Wikia | Gehege'!$A:$AL,19,FALSE)+VLOOKUP($A140,'Wikia | Gehege'!$A:$AL,26,FALSE)*($H140)-1*$H140),0)</f>
        <v>0</v>
      </c>
      <c r="M140" s="37">
        <f>IFERROR(IF(VLOOKUP($A140,'Wikia | Gehege'!$A:$AL,26,FALSE)=1,VLOOKUP($A140,'Wikia | Gehege'!$A:$AL,20,FALSE),VLOOKUP($A140,'Wikia | Gehege'!$A:$AL,20,FALSE)+VLOOKUP($A140,'Wikia | Gehege'!$A:$AL,26,FALSE)*($I140)-1*$I140),0)</f>
        <v>0</v>
      </c>
      <c r="N140" s="35">
        <f>IFERROR(IF(VLOOKUP($A140,'Wikia | Gehege'!$A:$AL,27,FALSE)=1,VLOOKUP($A140,'Wikia | Gehege'!$A:$AL,17,FALSE),VLOOKUP($A140,'Wikia | Gehege'!$A:$AL,17,FALSE)+VLOOKUP($A140,'Wikia | Gehege'!$A:$AL,27,FALSE)*($F140)-1*$F140),0)</f>
        <v>1438</v>
      </c>
      <c r="O140" s="36">
        <f>IFERROR(IF(VLOOKUP($A140,'Wikia | Gehege'!$A:$AL,27,FALSE)=1,VLOOKUP($A140,'Wikia | Gehege'!$A:$AL,18,FALSE),VLOOKUP($A140,'Wikia | Gehege'!$A:$AL,18,FALSE)+VLOOKUP($A140,'Wikia | Gehege'!$A:$AL,27,FALSE)*($G140)-1*$G140),0)</f>
        <v>0</v>
      </c>
      <c r="P140" s="36">
        <f>IFERROR(IF(VLOOKUP($A140,'Wikia | Gehege'!$A:$AL,27,FALSE)=1,VLOOKUP($A140,'Wikia | Gehege'!$A:$AL,19,FALSE),VLOOKUP($A140,'Wikia | Gehege'!$A:$AL,19,FALSE)+VLOOKUP($A140,'Wikia | Gehege'!$A:$AL,27,FALSE)*($H140)-1*$H140),0)</f>
        <v>0</v>
      </c>
      <c r="Q140" s="37">
        <f>IFERROR(IF(VLOOKUP($A140,'Wikia | Gehege'!$A:$AL,27,FALSE)=1,VLOOKUP($A140,'Wikia | Gehege'!$A:$AL,20,FALSE),VLOOKUP($A140,'Wikia | Gehege'!$A:$AL,20,FALSE)+VLOOKUP($A140,'Wikia | Gehege'!$A:$AL,27,FALSE)*($I140)-1*$I140),0)</f>
        <v>0</v>
      </c>
      <c r="R140" s="87"/>
      <c r="S140" s="94"/>
      <c r="T140" s="38">
        <f>IFERROR(VLOOKUP($A140,'Wikia | Gehege'!$A:$AL,17,FALSE)+(($S140-1)*$F140),0)</f>
        <v>1070</v>
      </c>
      <c r="U140" s="38">
        <f>IFERROR(VLOOKUP($A140,'Wikia | Gehege'!$A:$AL,18,FALSE)+(($S140-1)*$G140),0)</f>
        <v>0</v>
      </c>
      <c r="V140" s="38">
        <f>IFERROR(VLOOKUP($A140,'Wikia | Gehege'!$A:$AL,19,FALSE)+(($S140-1)*$H140),0)</f>
        <v>0</v>
      </c>
      <c r="W140" s="85">
        <f>IFERROR(VLOOKUP($A140,'Wikia | Gehege'!$A:$AL,20,FALSE)+(($S140-1)*$I140),0)</f>
        <v>0</v>
      </c>
      <c r="X140" s="87"/>
    </row>
    <row r="141" spans="1:24" ht="35.1" customHeight="1" x14ac:dyDescent="0.2">
      <c r="A141" s="140" t="str">
        <f>'Wikia | Gehege'!A141</f>
        <v>Vielfraß</v>
      </c>
      <c r="B141" s="35">
        <v>656</v>
      </c>
      <c r="C141" s="36">
        <v>44</v>
      </c>
      <c r="D141" s="36">
        <v>0</v>
      </c>
      <c r="E141" s="37">
        <v>0</v>
      </c>
      <c r="F141" s="35">
        <f>IFERROR(B141-VLOOKUP($A141,'Wikia | Gehege'!$A:$AL,17,FALSE),0)</f>
        <v>82</v>
      </c>
      <c r="G141" s="36">
        <f>IFERROR(C141-VLOOKUP($A141,'Wikia | Gehege'!$A:$AL,18,FALSE),0)</f>
        <v>14</v>
      </c>
      <c r="H141" s="36">
        <f>IFERROR(D141-VLOOKUP($A141,'Wikia | Gehege'!$A:$AL,19,FALSE),0)</f>
        <v>0</v>
      </c>
      <c r="I141" s="37">
        <f>IFERROR(E141-VLOOKUP($A141,'Wikia | Gehege'!$A:$AL,20,FALSE),0)</f>
        <v>0</v>
      </c>
      <c r="J141" s="35">
        <f>IFERROR(IF(VLOOKUP($A141,'Wikia | Gehege'!$A:$AL,26,FALSE)=1,VLOOKUP($A141,'Wikia | Gehege'!$A:$AL,17,FALSE),VLOOKUP($A141,'Wikia | Gehege'!$A:$AL,17,FALSE)+VLOOKUP($A141,'Wikia | Gehege'!$A:$AL,26,FALSE)*($F141)-1*$F141),0)</f>
        <v>574</v>
      </c>
      <c r="K141" s="36">
        <f>IFERROR(IF(VLOOKUP($A141,'Wikia | Gehege'!$A:$AL,26,FALSE)=1,VLOOKUP($A141,'Wikia | Gehege'!$A:$AL,18,FALSE),VLOOKUP($A141,'Wikia | Gehege'!$A:$AL,18,FALSE)+VLOOKUP($A141,'Wikia | Gehege'!$A:$AL,26,FALSE)*($G141)-1*$G141),0)</f>
        <v>30</v>
      </c>
      <c r="L141" s="36">
        <f>IFERROR(IF(VLOOKUP($A141,'Wikia | Gehege'!$A:$AL,26,FALSE)=1,VLOOKUP($A141,'Wikia | Gehege'!$A:$AL,19,FALSE),VLOOKUP($A141,'Wikia | Gehege'!$A:$AL,19,FALSE)+VLOOKUP($A141,'Wikia | Gehege'!$A:$AL,26,FALSE)*($H141)-1*$H141),0)</f>
        <v>0</v>
      </c>
      <c r="M141" s="37">
        <f>IFERROR(IF(VLOOKUP($A141,'Wikia | Gehege'!$A:$AL,26,FALSE)=1,VLOOKUP($A141,'Wikia | Gehege'!$A:$AL,20,FALSE),VLOOKUP($A141,'Wikia | Gehege'!$A:$AL,20,FALSE)+VLOOKUP($A141,'Wikia | Gehege'!$A:$AL,26,FALSE)*($I141)-1*$I141),0)</f>
        <v>0</v>
      </c>
      <c r="N141" s="35">
        <f>IFERROR(IF(VLOOKUP($A141,'Wikia | Gehege'!$A:$AL,27,FALSE)=1,VLOOKUP($A141,'Wikia | Gehege'!$A:$AL,17,FALSE),VLOOKUP($A141,'Wikia | Gehege'!$A:$AL,17,FALSE)+VLOOKUP($A141,'Wikia | Gehege'!$A:$AL,27,FALSE)*($F141)-1*$F141),0)</f>
        <v>656</v>
      </c>
      <c r="O141" s="36">
        <f>IFERROR(IF(VLOOKUP($A141,'Wikia | Gehege'!$A:$AL,27,FALSE)=1,VLOOKUP($A141,'Wikia | Gehege'!$A:$AL,18,FALSE),VLOOKUP($A141,'Wikia | Gehege'!$A:$AL,18,FALSE)+VLOOKUP($A141,'Wikia | Gehege'!$A:$AL,27,FALSE)*($G141)-1*$G141),0)</f>
        <v>44</v>
      </c>
      <c r="P141" s="36">
        <f>IFERROR(IF(VLOOKUP($A141,'Wikia | Gehege'!$A:$AL,27,FALSE)=1,VLOOKUP($A141,'Wikia | Gehege'!$A:$AL,19,FALSE),VLOOKUP($A141,'Wikia | Gehege'!$A:$AL,19,FALSE)+VLOOKUP($A141,'Wikia | Gehege'!$A:$AL,27,FALSE)*($H141)-1*$H141),0)</f>
        <v>0</v>
      </c>
      <c r="Q141" s="37">
        <f>IFERROR(IF(VLOOKUP($A141,'Wikia | Gehege'!$A:$AL,27,FALSE)=1,VLOOKUP($A141,'Wikia | Gehege'!$A:$AL,20,FALSE),VLOOKUP($A141,'Wikia | Gehege'!$A:$AL,20,FALSE)+VLOOKUP($A141,'Wikia | Gehege'!$A:$AL,27,FALSE)*($I141)-1*$I141),0)</f>
        <v>0</v>
      </c>
      <c r="R141" s="87"/>
      <c r="S141" s="94"/>
      <c r="T141" s="38">
        <f>IFERROR(VLOOKUP($A141,'Wikia | Gehege'!$A:$AL,17,FALSE)+(($S141-1)*$F141),0)</f>
        <v>492</v>
      </c>
      <c r="U141" s="38">
        <f>IFERROR(VLOOKUP($A141,'Wikia | Gehege'!$A:$AL,18,FALSE)+(($S141-1)*$G141),0)</f>
        <v>16</v>
      </c>
      <c r="V141" s="38">
        <f>IFERROR(VLOOKUP($A141,'Wikia | Gehege'!$A:$AL,19,FALSE)+(($S141-1)*$H141),0)</f>
        <v>0</v>
      </c>
      <c r="W141" s="85">
        <f>IFERROR(VLOOKUP($A141,'Wikia | Gehege'!$A:$AL,20,FALSE)+(($S141-1)*$I141),0)</f>
        <v>0</v>
      </c>
      <c r="X141" s="87"/>
    </row>
    <row r="142" spans="1:24" ht="35.1" customHeight="1" x14ac:dyDescent="0.2">
      <c r="A142" s="140" t="str">
        <f>'Wikia | Gehege'!A142</f>
        <v xml:space="preserve">Warzenschwein </v>
      </c>
      <c r="B142" s="35">
        <v>300</v>
      </c>
      <c r="C142" s="36">
        <v>0</v>
      </c>
      <c r="D142" s="36">
        <v>0</v>
      </c>
      <c r="E142" s="37">
        <v>0</v>
      </c>
      <c r="F142" s="35">
        <f>IFERROR(B142-VLOOKUP($A142,'Wikia | Gehege'!$A:$AL,17,FALSE),0)</f>
        <v>10</v>
      </c>
      <c r="G142" s="36">
        <f>IFERROR(C142-VLOOKUP($A142,'Wikia | Gehege'!$A:$AL,18,FALSE),0)</f>
        <v>0</v>
      </c>
      <c r="H142" s="36">
        <f>IFERROR(D142-VLOOKUP($A142,'Wikia | Gehege'!$A:$AL,19,FALSE),0)</f>
        <v>0</v>
      </c>
      <c r="I142" s="37">
        <f>IFERROR(E142-VLOOKUP($A142,'Wikia | Gehege'!$A:$AL,20,FALSE),0)</f>
        <v>0</v>
      </c>
      <c r="J142" s="35">
        <f>IFERROR(IF(VLOOKUP($A142,'Wikia | Gehege'!$A:$AL,26,FALSE)=1,VLOOKUP($A142,'Wikia | Gehege'!$A:$AL,17,FALSE),VLOOKUP($A142,'Wikia | Gehege'!$A:$AL,17,FALSE)+VLOOKUP($A142,'Wikia | Gehege'!$A:$AL,26,FALSE)*($F142)-1*$F142),0)</f>
        <v>290</v>
      </c>
      <c r="K142" s="36">
        <f>IFERROR(IF(VLOOKUP($A142,'Wikia | Gehege'!$A:$AL,26,FALSE)=1,VLOOKUP($A142,'Wikia | Gehege'!$A:$AL,18,FALSE),VLOOKUP($A142,'Wikia | Gehege'!$A:$AL,18,FALSE)+VLOOKUP($A142,'Wikia | Gehege'!$A:$AL,26,FALSE)*($G142)-1*$G142),0)</f>
        <v>0</v>
      </c>
      <c r="L142" s="36">
        <f>IFERROR(IF(VLOOKUP($A142,'Wikia | Gehege'!$A:$AL,26,FALSE)=1,VLOOKUP($A142,'Wikia | Gehege'!$A:$AL,19,FALSE),VLOOKUP($A142,'Wikia | Gehege'!$A:$AL,19,FALSE)+VLOOKUP($A142,'Wikia | Gehege'!$A:$AL,26,FALSE)*($H142)-1*$H142),0)</f>
        <v>0</v>
      </c>
      <c r="M142" s="37">
        <f>IFERROR(IF(VLOOKUP($A142,'Wikia | Gehege'!$A:$AL,26,FALSE)=1,VLOOKUP($A142,'Wikia | Gehege'!$A:$AL,20,FALSE),VLOOKUP($A142,'Wikia | Gehege'!$A:$AL,20,FALSE)+VLOOKUP($A142,'Wikia | Gehege'!$A:$AL,26,FALSE)*($I142)-1*$I142),0)</f>
        <v>0</v>
      </c>
      <c r="N142" s="35">
        <f>IFERROR(IF(VLOOKUP($A142,'Wikia | Gehege'!$A:$AL,27,FALSE)=1,VLOOKUP($A142,'Wikia | Gehege'!$A:$AL,17,FALSE),VLOOKUP($A142,'Wikia | Gehege'!$A:$AL,17,FALSE)+VLOOKUP($A142,'Wikia | Gehege'!$A:$AL,27,FALSE)*($F142)-1*$F142),0)</f>
        <v>350</v>
      </c>
      <c r="O142" s="36">
        <f>IFERROR(IF(VLOOKUP($A142,'Wikia | Gehege'!$A:$AL,27,FALSE)=1,VLOOKUP($A142,'Wikia | Gehege'!$A:$AL,18,FALSE),VLOOKUP($A142,'Wikia | Gehege'!$A:$AL,18,FALSE)+VLOOKUP($A142,'Wikia | Gehege'!$A:$AL,27,FALSE)*($G142)-1*$G142),0)</f>
        <v>0</v>
      </c>
      <c r="P142" s="36">
        <f>IFERROR(IF(VLOOKUP($A142,'Wikia | Gehege'!$A:$AL,27,FALSE)=1,VLOOKUP($A142,'Wikia | Gehege'!$A:$AL,19,FALSE),VLOOKUP($A142,'Wikia | Gehege'!$A:$AL,19,FALSE)+VLOOKUP($A142,'Wikia | Gehege'!$A:$AL,27,FALSE)*($H142)-1*$H142),0)</f>
        <v>0</v>
      </c>
      <c r="Q142" s="37">
        <f>IFERROR(IF(VLOOKUP($A142,'Wikia | Gehege'!$A:$AL,27,FALSE)=1,VLOOKUP($A142,'Wikia | Gehege'!$A:$AL,20,FALSE),VLOOKUP($A142,'Wikia | Gehege'!$A:$AL,20,FALSE)+VLOOKUP($A142,'Wikia | Gehege'!$A:$AL,27,FALSE)*($I142)-1*$I142),0)</f>
        <v>0</v>
      </c>
      <c r="R142" s="87"/>
      <c r="S142" s="94"/>
      <c r="T142" s="38">
        <f>IFERROR(VLOOKUP($A142,'Wikia | Gehege'!$A:$AL,17,FALSE)+(($S142-1)*$F142),0)</f>
        <v>280</v>
      </c>
      <c r="U142" s="38">
        <f>IFERROR(VLOOKUP($A142,'Wikia | Gehege'!$A:$AL,18,FALSE)+(($S142-1)*$G142),0)</f>
        <v>0</v>
      </c>
      <c r="V142" s="38">
        <f>IFERROR(VLOOKUP($A142,'Wikia | Gehege'!$A:$AL,19,FALSE)+(($S142-1)*$H142),0)</f>
        <v>0</v>
      </c>
      <c r="W142" s="85">
        <f>IFERROR(VLOOKUP($A142,'Wikia | Gehege'!$A:$AL,20,FALSE)+(($S142-1)*$I142),0)</f>
        <v>0</v>
      </c>
      <c r="X142" s="87"/>
    </row>
    <row r="143" spans="1:24" ht="35.1" customHeight="1" x14ac:dyDescent="0.2">
      <c r="A143" s="140" t="str">
        <f>'Wikia | Gehege'!A143</f>
        <v>Waschbär</v>
      </c>
      <c r="B143" s="35">
        <v>255</v>
      </c>
      <c r="C143" s="36">
        <v>25</v>
      </c>
      <c r="D143" s="36">
        <v>15</v>
      </c>
      <c r="E143" s="37">
        <v>0</v>
      </c>
      <c r="F143" s="35">
        <f>IFERROR(B143-VLOOKUP($A143,'Wikia | Gehege'!$A:$AL,17,FALSE),0)</f>
        <v>45</v>
      </c>
      <c r="G143" s="36">
        <f>IFERROR(C143-VLOOKUP($A143,'Wikia | Gehege'!$A:$AL,18,FALSE),0)</f>
        <v>5</v>
      </c>
      <c r="H143" s="36">
        <f>IFERROR(D143-VLOOKUP($A143,'Wikia | Gehege'!$A:$AL,19,FALSE),0)</f>
        <v>5</v>
      </c>
      <c r="I143" s="37">
        <f>IFERROR(E143-VLOOKUP($A143,'Wikia | Gehege'!$A:$AL,20,FALSE),0)</f>
        <v>0</v>
      </c>
      <c r="J143" s="35">
        <f>IFERROR(IF(VLOOKUP($A143,'Wikia | Gehege'!$A:$AL,26,FALSE)=1,VLOOKUP($A143,'Wikia | Gehege'!$A:$AL,17,FALSE),VLOOKUP($A143,'Wikia | Gehege'!$A:$AL,17,FALSE)+VLOOKUP($A143,'Wikia | Gehege'!$A:$AL,26,FALSE)*($F143)-1*$F143),0)</f>
        <v>255</v>
      </c>
      <c r="K143" s="36">
        <f>IFERROR(IF(VLOOKUP($A143,'Wikia | Gehege'!$A:$AL,26,FALSE)=1,VLOOKUP($A143,'Wikia | Gehege'!$A:$AL,18,FALSE),VLOOKUP($A143,'Wikia | Gehege'!$A:$AL,18,FALSE)+VLOOKUP($A143,'Wikia | Gehege'!$A:$AL,26,FALSE)*($G143)-1*$G143),0)</f>
        <v>25</v>
      </c>
      <c r="L143" s="36">
        <f>IFERROR(IF(VLOOKUP($A143,'Wikia | Gehege'!$A:$AL,26,FALSE)=1,VLOOKUP($A143,'Wikia | Gehege'!$A:$AL,19,FALSE),VLOOKUP($A143,'Wikia | Gehege'!$A:$AL,19,FALSE)+VLOOKUP($A143,'Wikia | Gehege'!$A:$AL,26,FALSE)*($H143)-1*$H143),0)</f>
        <v>15</v>
      </c>
      <c r="M143" s="37">
        <f>IFERROR(IF(VLOOKUP($A143,'Wikia | Gehege'!$A:$AL,26,FALSE)=1,VLOOKUP($A143,'Wikia | Gehege'!$A:$AL,20,FALSE),VLOOKUP($A143,'Wikia | Gehege'!$A:$AL,20,FALSE)+VLOOKUP($A143,'Wikia | Gehege'!$A:$AL,26,FALSE)*($I143)-1*$I143),0)</f>
        <v>0</v>
      </c>
      <c r="N143" s="35">
        <f>IFERROR(IF(VLOOKUP($A143,'Wikia | Gehege'!$A:$AL,27,FALSE)=1,VLOOKUP($A143,'Wikia | Gehege'!$A:$AL,17,FALSE),VLOOKUP($A143,'Wikia | Gehege'!$A:$AL,17,FALSE)+VLOOKUP($A143,'Wikia | Gehege'!$A:$AL,27,FALSE)*($F143)-1*$F143),0)</f>
        <v>390</v>
      </c>
      <c r="O143" s="36">
        <f>IFERROR(IF(VLOOKUP($A143,'Wikia | Gehege'!$A:$AL,27,FALSE)=1,VLOOKUP($A143,'Wikia | Gehege'!$A:$AL,18,FALSE),VLOOKUP($A143,'Wikia | Gehege'!$A:$AL,18,FALSE)+VLOOKUP($A143,'Wikia | Gehege'!$A:$AL,27,FALSE)*($G143)-1*$G143),0)</f>
        <v>40</v>
      </c>
      <c r="P143" s="36">
        <f>IFERROR(IF(VLOOKUP($A143,'Wikia | Gehege'!$A:$AL,27,FALSE)=1,VLOOKUP($A143,'Wikia | Gehege'!$A:$AL,19,FALSE),VLOOKUP($A143,'Wikia | Gehege'!$A:$AL,19,FALSE)+VLOOKUP($A143,'Wikia | Gehege'!$A:$AL,27,FALSE)*($H143)-1*$H143),0)</f>
        <v>30</v>
      </c>
      <c r="Q143" s="37">
        <f>IFERROR(IF(VLOOKUP($A143,'Wikia | Gehege'!$A:$AL,27,FALSE)=1,VLOOKUP($A143,'Wikia | Gehege'!$A:$AL,20,FALSE),VLOOKUP($A143,'Wikia | Gehege'!$A:$AL,20,FALSE)+VLOOKUP($A143,'Wikia | Gehege'!$A:$AL,27,FALSE)*($I143)-1*$I143),0)</f>
        <v>0</v>
      </c>
      <c r="R143" s="87"/>
      <c r="S143" s="94"/>
      <c r="T143" s="38">
        <f>IFERROR(VLOOKUP($A143,'Wikia | Gehege'!$A:$AL,17,FALSE)+(($S143-1)*$F143),0)</f>
        <v>165</v>
      </c>
      <c r="U143" s="38">
        <f>IFERROR(VLOOKUP($A143,'Wikia | Gehege'!$A:$AL,18,FALSE)+(($S143-1)*$G143),0)</f>
        <v>15</v>
      </c>
      <c r="V143" s="38">
        <f>IFERROR(VLOOKUP($A143,'Wikia | Gehege'!$A:$AL,19,FALSE)+(($S143-1)*$H143),0)</f>
        <v>5</v>
      </c>
      <c r="W143" s="85">
        <f>IFERROR(VLOOKUP($A143,'Wikia | Gehege'!$A:$AL,20,FALSE)+(($S143-1)*$I143),0)</f>
        <v>0</v>
      </c>
      <c r="X143" s="87"/>
    </row>
    <row r="144" spans="1:24" ht="35.1" customHeight="1" x14ac:dyDescent="0.2">
      <c r="A144" s="140" t="str">
        <f>'Wikia | Gehege'!A144</f>
        <v>Weißhandgibbon</v>
      </c>
      <c r="B144" s="35">
        <v>290</v>
      </c>
      <c r="C144" s="36">
        <v>85</v>
      </c>
      <c r="D144" s="36">
        <v>0</v>
      </c>
      <c r="E144" s="37">
        <v>0</v>
      </c>
      <c r="F144" s="35">
        <f>IFERROR(B144-VLOOKUP($A144,'Wikia | Gehege'!$A:$AL,17,FALSE),0)</f>
        <v>60</v>
      </c>
      <c r="G144" s="36">
        <f>IFERROR(C144-VLOOKUP($A144,'Wikia | Gehege'!$A:$AL,18,FALSE),0)</f>
        <v>25</v>
      </c>
      <c r="H144" s="36">
        <f>IFERROR(D144-VLOOKUP($A144,'Wikia | Gehege'!$A:$AL,19,FALSE),0)</f>
        <v>0</v>
      </c>
      <c r="I144" s="37">
        <f>IFERROR(E144-VLOOKUP($A144,'Wikia | Gehege'!$A:$AL,20,FALSE),0)</f>
        <v>0</v>
      </c>
      <c r="J144" s="35">
        <f>IFERROR(IF(VLOOKUP($A144,'Wikia | Gehege'!$A:$AL,26,FALSE)=1,VLOOKUP($A144,'Wikia | Gehege'!$A:$AL,17,FALSE),VLOOKUP($A144,'Wikia | Gehege'!$A:$AL,17,FALSE)+VLOOKUP($A144,'Wikia | Gehege'!$A:$AL,26,FALSE)*($F144)-1*$F144),0)</f>
        <v>290</v>
      </c>
      <c r="K144" s="36">
        <f>IFERROR(IF(VLOOKUP($A144,'Wikia | Gehege'!$A:$AL,26,FALSE)=1,VLOOKUP($A144,'Wikia | Gehege'!$A:$AL,18,FALSE),VLOOKUP($A144,'Wikia | Gehege'!$A:$AL,18,FALSE)+VLOOKUP($A144,'Wikia | Gehege'!$A:$AL,26,FALSE)*($G144)-1*$G144),0)</f>
        <v>85</v>
      </c>
      <c r="L144" s="36">
        <f>IFERROR(IF(VLOOKUP($A144,'Wikia | Gehege'!$A:$AL,26,FALSE)=1,VLOOKUP($A144,'Wikia | Gehege'!$A:$AL,19,FALSE),VLOOKUP($A144,'Wikia | Gehege'!$A:$AL,19,FALSE)+VLOOKUP($A144,'Wikia | Gehege'!$A:$AL,26,FALSE)*($H144)-1*$H144),0)</f>
        <v>0</v>
      </c>
      <c r="M144" s="37">
        <f>IFERROR(IF(VLOOKUP($A144,'Wikia | Gehege'!$A:$AL,26,FALSE)=1,VLOOKUP($A144,'Wikia | Gehege'!$A:$AL,20,FALSE),VLOOKUP($A144,'Wikia | Gehege'!$A:$AL,20,FALSE)+VLOOKUP($A144,'Wikia | Gehege'!$A:$AL,26,FALSE)*($I144)-1*$I144),0)</f>
        <v>0</v>
      </c>
      <c r="N144" s="35">
        <f>IFERROR(IF(VLOOKUP($A144,'Wikia | Gehege'!$A:$AL,27,FALSE)=1,VLOOKUP($A144,'Wikia | Gehege'!$A:$AL,17,FALSE),VLOOKUP($A144,'Wikia | Gehege'!$A:$AL,17,FALSE)+VLOOKUP($A144,'Wikia | Gehege'!$A:$AL,27,FALSE)*($F144)-1*$F144),0)</f>
        <v>530</v>
      </c>
      <c r="O144" s="36">
        <f>IFERROR(IF(VLOOKUP($A144,'Wikia | Gehege'!$A:$AL,27,FALSE)=1,VLOOKUP($A144,'Wikia | Gehege'!$A:$AL,18,FALSE),VLOOKUP($A144,'Wikia | Gehege'!$A:$AL,18,FALSE)+VLOOKUP($A144,'Wikia | Gehege'!$A:$AL,27,FALSE)*($G144)-1*$G144),0)</f>
        <v>185</v>
      </c>
      <c r="P144" s="36">
        <f>IFERROR(IF(VLOOKUP($A144,'Wikia | Gehege'!$A:$AL,27,FALSE)=1,VLOOKUP($A144,'Wikia | Gehege'!$A:$AL,19,FALSE),VLOOKUP($A144,'Wikia | Gehege'!$A:$AL,19,FALSE)+VLOOKUP($A144,'Wikia | Gehege'!$A:$AL,27,FALSE)*($H144)-1*$H144),0)</f>
        <v>0</v>
      </c>
      <c r="Q144" s="37">
        <f>IFERROR(IF(VLOOKUP($A144,'Wikia | Gehege'!$A:$AL,27,FALSE)=1,VLOOKUP($A144,'Wikia | Gehege'!$A:$AL,20,FALSE),VLOOKUP($A144,'Wikia | Gehege'!$A:$AL,20,FALSE)+VLOOKUP($A144,'Wikia | Gehege'!$A:$AL,27,FALSE)*($I144)-1*$I144),0)</f>
        <v>0</v>
      </c>
      <c r="R144" s="87"/>
      <c r="S144" s="94"/>
      <c r="T144" s="38">
        <f>IFERROR(VLOOKUP($A144,'Wikia | Gehege'!$A:$AL,17,FALSE)+(($S144-1)*$F144),0)</f>
        <v>170</v>
      </c>
      <c r="U144" s="38">
        <f>IFERROR(VLOOKUP($A144,'Wikia | Gehege'!$A:$AL,18,FALSE)+(($S144-1)*$G144),0)</f>
        <v>35</v>
      </c>
      <c r="V144" s="38">
        <f>IFERROR(VLOOKUP($A144,'Wikia | Gehege'!$A:$AL,19,FALSE)+(($S144-1)*$H144),0)</f>
        <v>0</v>
      </c>
      <c r="W144" s="85">
        <f>IFERROR(VLOOKUP($A144,'Wikia | Gehege'!$A:$AL,20,FALSE)+(($S144-1)*$I144),0)</f>
        <v>0</v>
      </c>
      <c r="X144" s="87"/>
    </row>
    <row r="145" spans="1:24" ht="35.1" customHeight="1" x14ac:dyDescent="0.2">
      <c r="A145" s="140" t="str">
        <f>'Wikia | Gehege'!A145</f>
        <v>Weißnacken-Moorantilope</v>
      </c>
      <c r="B145" s="35">
        <v>440</v>
      </c>
      <c r="C145" s="36">
        <v>0</v>
      </c>
      <c r="D145" s="36">
        <v>55</v>
      </c>
      <c r="E145" s="37">
        <v>0</v>
      </c>
      <c r="F145" s="35">
        <f>IFERROR(B145-VLOOKUP($A145,'Wikia | Gehege'!$A:$AL,17,FALSE),0)</f>
        <v>50</v>
      </c>
      <c r="G145" s="36">
        <f>IFERROR(C145-VLOOKUP($A145,'Wikia | Gehege'!$A:$AL,18,FALSE),0)</f>
        <v>0</v>
      </c>
      <c r="H145" s="36">
        <f>IFERROR(D145-VLOOKUP($A145,'Wikia | Gehege'!$A:$AL,19,FALSE),0)</f>
        <v>10</v>
      </c>
      <c r="I145" s="37">
        <f>IFERROR(E145-VLOOKUP($A145,'Wikia | Gehege'!$A:$AL,20,FALSE),0)</f>
        <v>0</v>
      </c>
      <c r="J145" s="35">
        <f>IFERROR(IF(VLOOKUP($A145,'Wikia | Gehege'!$A:$AL,26,FALSE)=1,VLOOKUP($A145,'Wikia | Gehege'!$A:$AL,17,FALSE),VLOOKUP($A145,'Wikia | Gehege'!$A:$AL,17,FALSE)+VLOOKUP($A145,'Wikia | Gehege'!$A:$AL,26,FALSE)*($F145)-1*$F145),0)</f>
        <v>490</v>
      </c>
      <c r="K145" s="36">
        <f>IFERROR(IF(VLOOKUP($A145,'Wikia | Gehege'!$A:$AL,26,FALSE)=1,VLOOKUP($A145,'Wikia | Gehege'!$A:$AL,18,FALSE),VLOOKUP($A145,'Wikia | Gehege'!$A:$AL,18,FALSE)+VLOOKUP($A145,'Wikia | Gehege'!$A:$AL,26,FALSE)*($G145)-1*$G145),0)</f>
        <v>0</v>
      </c>
      <c r="L145" s="36">
        <f>IFERROR(IF(VLOOKUP($A145,'Wikia | Gehege'!$A:$AL,26,FALSE)=1,VLOOKUP($A145,'Wikia | Gehege'!$A:$AL,19,FALSE),VLOOKUP($A145,'Wikia | Gehege'!$A:$AL,19,FALSE)+VLOOKUP($A145,'Wikia | Gehege'!$A:$AL,26,FALSE)*($H145)-1*$H145),0)</f>
        <v>65</v>
      </c>
      <c r="M145" s="37">
        <f>IFERROR(IF(VLOOKUP($A145,'Wikia | Gehege'!$A:$AL,26,FALSE)=1,VLOOKUP($A145,'Wikia | Gehege'!$A:$AL,20,FALSE),VLOOKUP($A145,'Wikia | Gehege'!$A:$AL,20,FALSE)+VLOOKUP($A145,'Wikia | Gehege'!$A:$AL,26,FALSE)*($I145)-1*$I145),0)</f>
        <v>0</v>
      </c>
      <c r="N145" s="35">
        <f>IFERROR(IF(VLOOKUP($A145,'Wikia | Gehege'!$A:$AL,27,FALSE)=1,VLOOKUP($A145,'Wikia | Gehege'!$A:$AL,17,FALSE),VLOOKUP($A145,'Wikia | Gehege'!$A:$AL,17,FALSE)+VLOOKUP($A145,'Wikia | Gehege'!$A:$AL,27,FALSE)*($F145)-1*$F145),0)</f>
        <v>2840</v>
      </c>
      <c r="O145" s="36">
        <f>IFERROR(IF(VLOOKUP($A145,'Wikia | Gehege'!$A:$AL,27,FALSE)=1,VLOOKUP($A145,'Wikia | Gehege'!$A:$AL,18,FALSE),VLOOKUP($A145,'Wikia | Gehege'!$A:$AL,18,FALSE)+VLOOKUP($A145,'Wikia | Gehege'!$A:$AL,27,FALSE)*($G145)-1*$G145),0)</f>
        <v>0</v>
      </c>
      <c r="P145" s="36">
        <f>IFERROR(IF(VLOOKUP($A145,'Wikia | Gehege'!$A:$AL,27,FALSE)=1,VLOOKUP($A145,'Wikia | Gehege'!$A:$AL,19,FALSE),VLOOKUP($A145,'Wikia | Gehege'!$A:$AL,19,FALSE)+VLOOKUP($A145,'Wikia | Gehege'!$A:$AL,27,FALSE)*($H145)-1*$H145),0)</f>
        <v>535</v>
      </c>
      <c r="Q145" s="37">
        <f>IFERROR(IF(VLOOKUP($A145,'Wikia | Gehege'!$A:$AL,27,FALSE)=1,VLOOKUP($A145,'Wikia | Gehege'!$A:$AL,20,FALSE),VLOOKUP($A145,'Wikia | Gehege'!$A:$AL,20,FALSE)+VLOOKUP($A145,'Wikia | Gehege'!$A:$AL,27,FALSE)*($I145)-1*$I145),0)</f>
        <v>0</v>
      </c>
      <c r="R145" s="87"/>
      <c r="S145" s="94"/>
      <c r="T145" s="38">
        <f>IFERROR(VLOOKUP($A145,'Wikia | Gehege'!$A:$AL,17,FALSE)+(($S145-1)*$F145),0)</f>
        <v>340</v>
      </c>
      <c r="U145" s="38">
        <f>IFERROR(VLOOKUP($A145,'Wikia | Gehege'!$A:$AL,18,FALSE)+(($S145-1)*$G145),0)</f>
        <v>0</v>
      </c>
      <c r="V145" s="38">
        <f>IFERROR(VLOOKUP($A145,'Wikia | Gehege'!$A:$AL,19,FALSE)+(($S145-1)*$H145),0)</f>
        <v>35</v>
      </c>
      <c r="W145" s="85">
        <f>IFERROR(VLOOKUP($A145,'Wikia | Gehege'!$A:$AL,20,FALSE)+(($S145-1)*$I145),0)</f>
        <v>0</v>
      </c>
      <c r="X145" s="87"/>
    </row>
    <row r="146" spans="1:24" ht="35.1" customHeight="1" x14ac:dyDescent="0.2">
      <c r="A146" s="140" t="str">
        <f>'Wikia | Gehege'!A146</f>
        <v>Weißschulter-Kapuzineraffe</v>
      </c>
      <c r="B146" s="35">
        <v>218</v>
      </c>
      <c r="C146" s="36">
        <v>24</v>
      </c>
      <c r="D146" s="36">
        <v>0</v>
      </c>
      <c r="E146" s="37">
        <v>0</v>
      </c>
      <c r="F146" s="35">
        <f>IFERROR(B146-VLOOKUP($A146,'Wikia | Gehege'!$A:$AL,17,FALSE),0)</f>
        <v>8</v>
      </c>
      <c r="G146" s="36">
        <f>IFERROR(C146-VLOOKUP($A146,'Wikia | Gehege'!$A:$AL,18,FALSE),0)</f>
        <v>4</v>
      </c>
      <c r="H146" s="36">
        <f>IFERROR(D146-VLOOKUP($A146,'Wikia | Gehege'!$A:$AL,19,FALSE),0)</f>
        <v>0</v>
      </c>
      <c r="I146" s="37">
        <f>IFERROR(E146-VLOOKUP($A146,'Wikia | Gehege'!$A:$AL,20,FALSE),0)</f>
        <v>0</v>
      </c>
      <c r="J146" s="35">
        <f>IFERROR(IF(VLOOKUP($A146,'Wikia | Gehege'!$A:$AL,26,FALSE)=1,VLOOKUP($A146,'Wikia | Gehege'!$A:$AL,17,FALSE),VLOOKUP($A146,'Wikia | Gehege'!$A:$AL,17,FALSE)+VLOOKUP($A146,'Wikia | Gehege'!$A:$AL,26,FALSE)*($F146)-1*$F146),0)</f>
        <v>266</v>
      </c>
      <c r="K146" s="36">
        <f>IFERROR(IF(VLOOKUP($A146,'Wikia | Gehege'!$A:$AL,26,FALSE)=1,VLOOKUP($A146,'Wikia | Gehege'!$A:$AL,18,FALSE),VLOOKUP($A146,'Wikia | Gehege'!$A:$AL,18,FALSE)+VLOOKUP($A146,'Wikia | Gehege'!$A:$AL,26,FALSE)*($G146)-1*$G146),0)</f>
        <v>48</v>
      </c>
      <c r="L146" s="36">
        <f>IFERROR(IF(VLOOKUP($A146,'Wikia | Gehege'!$A:$AL,26,FALSE)=1,VLOOKUP($A146,'Wikia | Gehege'!$A:$AL,19,FALSE),VLOOKUP($A146,'Wikia | Gehege'!$A:$AL,19,FALSE)+VLOOKUP($A146,'Wikia | Gehege'!$A:$AL,26,FALSE)*($H146)-1*$H146),0)</f>
        <v>0</v>
      </c>
      <c r="M146" s="37">
        <f>IFERROR(IF(VLOOKUP($A146,'Wikia | Gehege'!$A:$AL,26,FALSE)=1,VLOOKUP($A146,'Wikia | Gehege'!$A:$AL,20,FALSE),VLOOKUP($A146,'Wikia | Gehege'!$A:$AL,20,FALSE)+VLOOKUP($A146,'Wikia | Gehege'!$A:$AL,26,FALSE)*($I146)-1*$I146),0)</f>
        <v>0</v>
      </c>
      <c r="N146" s="35">
        <f>IFERROR(IF(VLOOKUP($A146,'Wikia | Gehege'!$A:$AL,27,FALSE)=1,VLOOKUP($A146,'Wikia | Gehege'!$A:$AL,17,FALSE),VLOOKUP($A146,'Wikia | Gehege'!$A:$AL,17,FALSE)+VLOOKUP($A146,'Wikia | Gehege'!$A:$AL,27,FALSE)*($F146)-1*$F146),0)</f>
        <v>522</v>
      </c>
      <c r="O146" s="36">
        <f>IFERROR(IF(VLOOKUP($A146,'Wikia | Gehege'!$A:$AL,27,FALSE)=1,VLOOKUP($A146,'Wikia | Gehege'!$A:$AL,18,FALSE),VLOOKUP($A146,'Wikia | Gehege'!$A:$AL,18,FALSE)+VLOOKUP($A146,'Wikia | Gehege'!$A:$AL,27,FALSE)*($G146)-1*$G146),0)</f>
        <v>176</v>
      </c>
      <c r="P146" s="36">
        <f>IFERROR(IF(VLOOKUP($A146,'Wikia | Gehege'!$A:$AL,27,FALSE)=1,VLOOKUP($A146,'Wikia | Gehege'!$A:$AL,19,FALSE),VLOOKUP($A146,'Wikia | Gehege'!$A:$AL,19,FALSE)+VLOOKUP($A146,'Wikia | Gehege'!$A:$AL,27,FALSE)*($H146)-1*$H146),0)</f>
        <v>0</v>
      </c>
      <c r="Q146" s="37">
        <f>IFERROR(IF(VLOOKUP($A146,'Wikia | Gehege'!$A:$AL,27,FALSE)=1,VLOOKUP($A146,'Wikia | Gehege'!$A:$AL,20,FALSE),VLOOKUP($A146,'Wikia | Gehege'!$A:$AL,20,FALSE)+VLOOKUP($A146,'Wikia | Gehege'!$A:$AL,27,FALSE)*($I146)-1*$I146),0)</f>
        <v>0</v>
      </c>
      <c r="R146" s="87"/>
      <c r="S146" s="94"/>
      <c r="T146" s="38">
        <f>IFERROR(VLOOKUP($A146,'Wikia | Gehege'!$A:$AL,17,FALSE)+(($S146-1)*$F146),0)</f>
        <v>202</v>
      </c>
      <c r="U146" s="38">
        <f>IFERROR(VLOOKUP($A146,'Wikia | Gehege'!$A:$AL,18,FALSE)+(($S146-1)*$G146),0)</f>
        <v>16</v>
      </c>
      <c r="V146" s="38">
        <f>IFERROR(VLOOKUP($A146,'Wikia | Gehege'!$A:$AL,19,FALSE)+(($S146-1)*$H146),0)</f>
        <v>0</v>
      </c>
      <c r="W146" s="85">
        <f>IFERROR(VLOOKUP($A146,'Wikia | Gehege'!$A:$AL,20,FALSE)+(($S146-1)*$I146),0)</f>
        <v>0</v>
      </c>
      <c r="X146" s="87"/>
    </row>
    <row r="147" spans="1:24" ht="35.1" customHeight="1" x14ac:dyDescent="0.2">
      <c r="A147" s="140" t="str">
        <f>'Wikia | Gehege'!A147</f>
        <v xml:space="preserve">Weißschwanzgnu </v>
      </c>
      <c r="B147" s="35">
        <v>450</v>
      </c>
      <c r="C147" s="36">
        <v>0</v>
      </c>
      <c r="D147" s="36">
        <v>0</v>
      </c>
      <c r="E147" s="37">
        <v>0</v>
      </c>
      <c r="F147" s="35">
        <f>IFERROR(B147-VLOOKUP($A147,'Wikia | Gehege'!$A:$AL,17,FALSE),0)</f>
        <v>40</v>
      </c>
      <c r="G147" s="36">
        <f>IFERROR(C147-VLOOKUP($A147,'Wikia | Gehege'!$A:$AL,18,FALSE),0)</f>
        <v>0</v>
      </c>
      <c r="H147" s="36">
        <f>IFERROR(D147-VLOOKUP($A147,'Wikia | Gehege'!$A:$AL,19,FALSE),0)</f>
        <v>0</v>
      </c>
      <c r="I147" s="37">
        <f>IFERROR(E147-VLOOKUP($A147,'Wikia | Gehege'!$A:$AL,20,FALSE),0)</f>
        <v>0</v>
      </c>
      <c r="J147" s="35">
        <f>IFERROR(IF(VLOOKUP($A147,'Wikia | Gehege'!$A:$AL,26,FALSE)=1,VLOOKUP($A147,'Wikia | Gehege'!$A:$AL,17,FALSE),VLOOKUP($A147,'Wikia | Gehege'!$A:$AL,17,FALSE)+VLOOKUP($A147,'Wikia | Gehege'!$A:$AL,26,FALSE)*($F147)-1*$F147),0)</f>
        <v>650</v>
      </c>
      <c r="K147" s="36">
        <f>IFERROR(IF(VLOOKUP($A147,'Wikia | Gehege'!$A:$AL,26,FALSE)=1,VLOOKUP($A147,'Wikia | Gehege'!$A:$AL,18,FALSE),VLOOKUP($A147,'Wikia | Gehege'!$A:$AL,18,FALSE)+VLOOKUP($A147,'Wikia | Gehege'!$A:$AL,26,FALSE)*($G147)-1*$G147),0)</f>
        <v>0</v>
      </c>
      <c r="L147" s="36">
        <f>IFERROR(IF(VLOOKUP($A147,'Wikia | Gehege'!$A:$AL,26,FALSE)=1,VLOOKUP($A147,'Wikia | Gehege'!$A:$AL,19,FALSE),VLOOKUP($A147,'Wikia | Gehege'!$A:$AL,19,FALSE)+VLOOKUP($A147,'Wikia | Gehege'!$A:$AL,26,FALSE)*($H147)-1*$H147),0)</f>
        <v>0</v>
      </c>
      <c r="M147" s="37">
        <f>IFERROR(IF(VLOOKUP($A147,'Wikia | Gehege'!$A:$AL,26,FALSE)=1,VLOOKUP($A147,'Wikia | Gehege'!$A:$AL,20,FALSE),VLOOKUP($A147,'Wikia | Gehege'!$A:$AL,20,FALSE)+VLOOKUP($A147,'Wikia | Gehege'!$A:$AL,26,FALSE)*($I147)-1*$I147),0)</f>
        <v>0</v>
      </c>
      <c r="N147" s="35">
        <f>IFERROR(IF(VLOOKUP($A147,'Wikia | Gehege'!$A:$AL,27,FALSE)=1,VLOOKUP($A147,'Wikia | Gehege'!$A:$AL,17,FALSE),VLOOKUP($A147,'Wikia | Gehege'!$A:$AL,17,FALSE)+VLOOKUP($A147,'Wikia | Gehege'!$A:$AL,27,FALSE)*($F147)-1*$F147),0)</f>
        <v>1650</v>
      </c>
      <c r="O147" s="36">
        <f>IFERROR(IF(VLOOKUP($A147,'Wikia | Gehege'!$A:$AL,27,FALSE)=1,VLOOKUP($A147,'Wikia | Gehege'!$A:$AL,18,FALSE),VLOOKUP($A147,'Wikia | Gehege'!$A:$AL,18,FALSE)+VLOOKUP($A147,'Wikia | Gehege'!$A:$AL,27,FALSE)*($G147)-1*$G147),0)</f>
        <v>0</v>
      </c>
      <c r="P147" s="36">
        <f>IFERROR(IF(VLOOKUP($A147,'Wikia | Gehege'!$A:$AL,27,FALSE)=1,VLOOKUP($A147,'Wikia | Gehege'!$A:$AL,19,FALSE),VLOOKUP($A147,'Wikia | Gehege'!$A:$AL,19,FALSE)+VLOOKUP($A147,'Wikia | Gehege'!$A:$AL,27,FALSE)*($H147)-1*$H147),0)</f>
        <v>0</v>
      </c>
      <c r="Q147" s="37">
        <f>IFERROR(IF(VLOOKUP($A147,'Wikia | Gehege'!$A:$AL,27,FALSE)=1,VLOOKUP($A147,'Wikia | Gehege'!$A:$AL,20,FALSE),VLOOKUP($A147,'Wikia | Gehege'!$A:$AL,20,FALSE)+VLOOKUP($A147,'Wikia | Gehege'!$A:$AL,27,FALSE)*($I147)-1*$I147),0)</f>
        <v>0</v>
      </c>
      <c r="R147" s="87"/>
      <c r="S147" s="94"/>
      <c r="T147" s="38">
        <f>IFERROR(VLOOKUP($A147,'Wikia | Gehege'!$A:$AL,17,FALSE)+(($S147-1)*$F147),0)</f>
        <v>370</v>
      </c>
      <c r="U147" s="38">
        <f>IFERROR(VLOOKUP($A147,'Wikia | Gehege'!$A:$AL,18,FALSE)+(($S147-1)*$G147),0)</f>
        <v>0</v>
      </c>
      <c r="V147" s="38">
        <f>IFERROR(VLOOKUP($A147,'Wikia | Gehege'!$A:$AL,19,FALSE)+(($S147-1)*$H147),0)</f>
        <v>0</v>
      </c>
      <c r="W147" s="85">
        <f>IFERROR(VLOOKUP($A147,'Wikia | Gehege'!$A:$AL,20,FALSE)+(($S147-1)*$I147),0)</f>
        <v>0</v>
      </c>
      <c r="X147" s="87"/>
    </row>
    <row r="148" spans="1:24" ht="35.1" customHeight="1" x14ac:dyDescent="0.2">
      <c r="A148" s="140" t="str">
        <f>'Wikia | Gehege'!A148</f>
        <v xml:space="preserve">Westafrikanischer Löwe </v>
      </c>
      <c r="B148" s="35">
        <v>816</v>
      </c>
      <c r="C148" s="36">
        <v>0</v>
      </c>
      <c r="D148" s="36">
        <v>0</v>
      </c>
      <c r="E148" s="37">
        <v>0</v>
      </c>
      <c r="F148" s="35">
        <f>IFERROR(B148-VLOOKUP($A148,'Wikia | Gehege'!$A:$AL,17,FALSE),0)</f>
        <v>111</v>
      </c>
      <c r="G148" s="36">
        <f>IFERROR(C148-VLOOKUP($A148,'Wikia | Gehege'!$A:$AL,18,FALSE),0)</f>
        <v>0</v>
      </c>
      <c r="H148" s="36">
        <f>IFERROR(D148-VLOOKUP($A148,'Wikia | Gehege'!$A:$AL,19,FALSE),0)</f>
        <v>0</v>
      </c>
      <c r="I148" s="37">
        <f>IFERROR(E148-VLOOKUP($A148,'Wikia | Gehege'!$A:$AL,20,FALSE),0)</f>
        <v>0</v>
      </c>
      <c r="J148" s="35">
        <f>IFERROR(IF(VLOOKUP($A148,'Wikia | Gehege'!$A:$AL,26,FALSE)=1,VLOOKUP($A148,'Wikia | Gehege'!$A:$AL,17,FALSE),VLOOKUP($A148,'Wikia | Gehege'!$A:$AL,17,FALSE)+VLOOKUP($A148,'Wikia | Gehege'!$A:$AL,26,FALSE)*($F148)-1*$F148),0)</f>
        <v>816</v>
      </c>
      <c r="K148" s="36">
        <f>IFERROR(IF(VLOOKUP($A148,'Wikia | Gehege'!$A:$AL,26,FALSE)=1,VLOOKUP($A148,'Wikia | Gehege'!$A:$AL,18,FALSE),VLOOKUP($A148,'Wikia | Gehege'!$A:$AL,18,FALSE)+VLOOKUP($A148,'Wikia | Gehege'!$A:$AL,26,FALSE)*($G148)-1*$G148),0)</f>
        <v>0</v>
      </c>
      <c r="L148" s="36">
        <f>IFERROR(IF(VLOOKUP($A148,'Wikia | Gehege'!$A:$AL,26,FALSE)=1,VLOOKUP($A148,'Wikia | Gehege'!$A:$AL,19,FALSE),VLOOKUP($A148,'Wikia | Gehege'!$A:$AL,19,FALSE)+VLOOKUP($A148,'Wikia | Gehege'!$A:$AL,26,FALSE)*($H148)-1*$H148),0)</f>
        <v>0</v>
      </c>
      <c r="M148" s="37">
        <f>IFERROR(IF(VLOOKUP($A148,'Wikia | Gehege'!$A:$AL,26,FALSE)=1,VLOOKUP($A148,'Wikia | Gehege'!$A:$AL,20,FALSE),VLOOKUP($A148,'Wikia | Gehege'!$A:$AL,20,FALSE)+VLOOKUP($A148,'Wikia | Gehege'!$A:$AL,26,FALSE)*($I148)-1*$I148),0)</f>
        <v>0</v>
      </c>
      <c r="N148" s="35">
        <f>IFERROR(IF(VLOOKUP($A148,'Wikia | Gehege'!$A:$AL,27,FALSE)=1,VLOOKUP($A148,'Wikia | Gehege'!$A:$AL,17,FALSE),VLOOKUP($A148,'Wikia | Gehege'!$A:$AL,17,FALSE)+VLOOKUP($A148,'Wikia | Gehege'!$A:$AL,27,FALSE)*($F148)-1*$F148),0)</f>
        <v>3924</v>
      </c>
      <c r="O148" s="36">
        <f>IFERROR(IF(VLOOKUP($A148,'Wikia | Gehege'!$A:$AL,27,FALSE)=1,VLOOKUP($A148,'Wikia | Gehege'!$A:$AL,18,FALSE),VLOOKUP($A148,'Wikia | Gehege'!$A:$AL,18,FALSE)+VLOOKUP($A148,'Wikia | Gehege'!$A:$AL,27,FALSE)*($G148)-1*$G148),0)</f>
        <v>0</v>
      </c>
      <c r="P148" s="36">
        <f>IFERROR(IF(VLOOKUP($A148,'Wikia | Gehege'!$A:$AL,27,FALSE)=1,VLOOKUP($A148,'Wikia | Gehege'!$A:$AL,19,FALSE),VLOOKUP($A148,'Wikia | Gehege'!$A:$AL,19,FALSE)+VLOOKUP($A148,'Wikia | Gehege'!$A:$AL,27,FALSE)*($H148)-1*$H148),0)</f>
        <v>0</v>
      </c>
      <c r="Q148" s="37">
        <f>IFERROR(IF(VLOOKUP($A148,'Wikia | Gehege'!$A:$AL,27,FALSE)=1,VLOOKUP($A148,'Wikia | Gehege'!$A:$AL,20,FALSE),VLOOKUP($A148,'Wikia | Gehege'!$A:$AL,20,FALSE)+VLOOKUP($A148,'Wikia | Gehege'!$A:$AL,27,FALSE)*($I148)-1*$I148),0)</f>
        <v>0</v>
      </c>
      <c r="R148" s="87"/>
      <c r="S148" s="94"/>
      <c r="T148" s="38">
        <f>IFERROR(VLOOKUP($A148,'Wikia | Gehege'!$A:$AL,17,FALSE)+(($S148-1)*$F148),0)</f>
        <v>594</v>
      </c>
      <c r="U148" s="38">
        <f>IFERROR(VLOOKUP($A148,'Wikia | Gehege'!$A:$AL,18,FALSE)+(($S148-1)*$G148),0)</f>
        <v>0</v>
      </c>
      <c r="V148" s="38">
        <f>IFERROR(VLOOKUP($A148,'Wikia | Gehege'!$A:$AL,19,FALSE)+(($S148-1)*$H148),0)</f>
        <v>0</v>
      </c>
      <c r="W148" s="85">
        <f>IFERROR(VLOOKUP($A148,'Wikia | Gehege'!$A:$AL,20,FALSE)+(($S148-1)*$I148),0)</f>
        <v>0</v>
      </c>
      <c r="X148" s="87"/>
    </row>
    <row r="149" spans="1:24" ht="35.1" customHeight="1" x14ac:dyDescent="0.2">
      <c r="A149" s="140" t="str">
        <f>'Wikia | Gehege'!A149</f>
        <v>Westafrikanisches Stachelschwein</v>
      </c>
      <c r="B149" s="35">
        <v>365</v>
      </c>
      <c r="C149" s="36">
        <v>0</v>
      </c>
      <c r="D149" s="36">
        <v>0</v>
      </c>
      <c r="E149" s="37">
        <v>0</v>
      </c>
      <c r="F149" s="35">
        <f>IFERROR(B149-VLOOKUP($A149,'Wikia | Gehege'!$A:$AL,17,FALSE),0)</f>
        <v>55</v>
      </c>
      <c r="G149" s="36">
        <f>IFERROR(C149-VLOOKUP($A149,'Wikia | Gehege'!$A:$AL,18,FALSE),0)</f>
        <v>0</v>
      </c>
      <c r="H149" s="36">
        <f>IFERROR(D149-VLOOKUP($A149,'Wikia | Gehege'!$A:$AL,19,FALSE),0)</f>
        <v>0</v>
      </c>
      <c r="I149" s="37">
        <f>IFERROR(E149-VLOOKUP($A149,'Wikia | Gehege'!$A:$AL,20,FALSE),0)</f>
        <v>0</v>
      </c>
      <c r="J149" s="35">
        <f>IFERROR(IF(VLOOKUP($A149,'Wikia | Gehege'!$A:$AL,26,FALSE)=1,VLOOKUP($A149,'Wikia | Gehege'!$A:$AL,17,FALSE),VLOOKUP($A149,'Wikia | Gehege'!$A:$AL,17,FALSE)+VLOOKUP($A149,'Wikia | Gehege'!$A:$AL,26,FALSE)*($F149)-1*$F149),0)</f>
        <v>310</v>
      </c>
      <c r="K149" s="36">
        <f>IFERROR(IF(VLOOKUP($A149,'Wikia | Gehege'!$A:$AL,26,FALSE)=1,VLOOKUP($A149,'Wikia | Gehege'!$A:$AL,18,FALSE),VLOOKUP($A149,'Wikia | Gehege'!$A:$AL,18,FALSE)+VLOOKUP($A149,'Wikia | Gehege'!$A:$AL,26,FALSE)*($G149)-1*$G149),0)</f>
        <v>0</v>
      </c>
      <c r="L149" s="36">
        <f>IFERROR(IF(VLOOKUP($A149,'Wikia | Gehege'!$A:$AL,26,FALSE)=1,VLOOKUP($A149,'Wikia | Gehege'!$A:$AL,19,FALSE),VLOOKUP($A149,'Wikia | Gehege'!$A:$AL,19,FALSE)+VLOOKUP($A149,'Wikia | Gehege'!$A:$AL,26,FALSE)*($H149)-1*$H149),0)</f>
        <v>0</v>
      </c>
      <c r="M149" s="37">
        <f>IFERROR(IF(VLOOKUP($A149,'Wikia | Gehege'!$A:$AL,26,FALSE)=1,VLOOKUP($A149,'Wikia | Gehege'!$A:$AL,20,FALSE),VLOOKUP($A149,'Wikia | Gehege'!$A:$AL,20,FALSE)+VLOOKUP($A149,'Wikia | Gehege'!$A:$AL,26,FALSE)*($I149)-1*$I149),0)</f>
        <v>0</v>
      </c>
      <c r="N149" s="35">
        <f>IFERROR(IF(VLOOKUP($A149,'Wikia | Gehege'!$A:$AL,27,FALSE)=1,VLOOKUP($A149,'Wikia | Gehege'!$A:$AL,17,FALSE),VLOOKUP($A149,'Wikia | Gehege'!$A:$AL,17,FALSE)+VLOOKUP($A149,'Wikia | Gehege'!$A:$AL,27,FALSE)*($F149)-1*$F149),0)</f>
        <v>585</v>
      </c>
      <c r="O149" s="36">
        <f>IFERROR(IF(VLOOKUP($A149,'Wikia | Gehege'!$A:$AL,27,FALSE)=1,VLOOKUP($A149,'Wikia | Gehege'!$A:$AL,18,FALSE),VLOOKUP($A149,'Wikia | Gehege'!$A:$AL,18,FALSE)+VLOOKUP($A149,'Wikia | Gehege'!$A:$AL,27,FALSE)*($G149)-1*$G149),0)</f>
        <v>0</v>
      </c>
      <c r="P149" s="36">
        <f>IFERROR(IF(VLOOKUP($A149,'Wikia | Gehege'!$A:$AL,27,FALSE)=1,VLOOKUP($A149,'Wikia | Gehege'!$A:$AL,19,FALSE),VLOOKUP($A149,'Wikia | Gehege'!$A:$AL,19,FALSE)+VLOOKUP($A149,'Wikia | Gehege'!$A:$AL,27,FALSE)*($H149)-1*$H149),0)</f>
        <v>0</v>
      </c>
      <c r="Q149" s="37">
        <f>IFERROR(IF(VLOOKUP($A149,'Wikia | Gehege'!$A:$AL,27,FALSE)=1,VLOOKUP($A149,'Wikia | Gehege'!$A:$AL,20,FALSE),VLOOKUP($A149,'Wikia | Gehege'!$A:$AL,20,FALSE)+VLOOKUP($A149,'Wikia | Gehege'!$A:$AL,27,FALSE)*($I149)-1*$I149),0)</f>
        <v>0</v>
      </c>
      <c r="R149" s="87"/>
      <c r="S149" s="94"/>
      <c r="T149" s="38">
        <f>IFERROR(VLOOKUP($A149,'Wikia | Gehege'!$A:$AL,17,FALSE)+(($S149-1)*$F149),0)</f>
        <v>255</v>
      </c>
      <c r="U149" s="38">
        <f>IFERROR(VLOOKUP($A149,'Wikia | Gehege'!$A:$AL,18,FALSE)+(($S149-1)*$G149),0)</f>
        <v>0</v>
      </c>
      <c r="V149" s="38">
        <f>IFERROR(VLOOKUP($A149,'Wikia | Gehege'!$A:$AL,19,FALSE)+(($S149-1)*$H149),0)</f>
        <v>0</v>
      </c>
      <c r="W149" s="85">
        <f>IFERROR(VLOOKUP($A149,'Wikia | Gehege'!$A:$AL,20,FALSE)+(($S149-1)*$I149),0)</f>
        <v>0</v>
      </c>
      <c r="X149" s="87"/>
    </row>
    <row r="150" spans="1:24" ht="35.1" customHeight="1" x14ac:dyDescent="0.2">
      <c r="A150" s="140" t="str">
        <f>'Wikia | Gehege'!A150</f>
        <v xml:space="preserve">Westlicher Flachlandgorilla </v>
      </c>
      <c r="B150" s="35">
        <v>830</v>
      </c>
      <c r="C150" s="36">
        <v>60</v>
      </c>
      <c r="D150" s="36">
        <v>0</v>
      </c>
      <c r="E150" s="37">
        <v>0</v>
      </c>
      <c r="F150" s="35">
        <f>IFERROR(B150-VLOOKUP($A150,'Wikia | Gehege'!$A:$AL,17,FALSE),0)</f>
        <v>50</v>
      </c>
      <c r="G150" s="36">
        <f>IFERROR(C150-VLOOKUP($A150,'Wikia | Gehege'!$A:$AL,18,FALSE),0)</f>
        <v>20</v>
      </c>
      <c r="H150" s="36">
        <f>IFERROR(D150-VLOOKUP($A150,'Wikia | Gehege'!$A:$AL,19,FALSE),0)</f>
        <v>0</v>
      </c>
      <c r="I150" s="37">
        <f>IFERROR(E150-VLOOKUP($A150,'Wikia | Gehege'!$A:$AL,20,FALSE),0)</f>
        <v>0</v>
      </c>
      <c r="J150" s="35">
        <f>IFERROR(IF(VLOOKUP($A150,'Wikia | Gehege'!$A:$AL,26,FALSE)=1,VLOOKUP($A150,'Wikia | Gehege'!$A:$AL,17,FALSE),VLOOKUP($A150,'Wikia | Gehege'!$A:$AL,17,FALSE)+VLOOKUP($A150,'Wikia | Gehege'!$A:$AL,26,FALSE)*($F150)-1*$F150),0)</f>
        <v>880</v>
      </c>
      <c r="K150" s="36">
        <f>IFERROR(IF(VLOOKUP($A150,'Wikia | Gehege'!$A:$AL,26,FALSE)=1,VLOOKUP($A150,'Wikia | Gehege'!$A:$AL,18,FALSE),VLOOKUP($A150,'Wikia | Gehege'!$A:$AL,18,FALSE)+VLOOKUP($A150,'Wikia | Gehege'!$A:$AL,26,FALSE)*($G150)-1*$G150),0)</f>
        <v>80</v>
      </c>
      <c r="L150" s="36">
        <f>IFERROR(IF(VLOOKUP($A150,'Wikia | Gehege'!$A:$AL,26,FALSE)=1,VLOOKUP($A150,'Wikia | Gehege'!$A:$AL,19,FALSE),VLOOKUP($A150,'Wikia | Gehege'!$A:$AL,19,FALSE)+VLOOKUP($A150,'Wikia | Gehege'!$A:$AL,26,FALSE)*($H150)-1*$H150),0)</f>
        <v>0</v>
      </c>
      <c r="M150" s="37">
        <f>IFERROR(IF(VLOOKUP($A150,'Wikia | Gehege'!$A:$AL,26,FALSE)=1,VLOOKUP($A150,'Wikia | Gehege'!$A:$AL,20,FALSE),VLOOKUP($A150,'Wikia | Gehege'!$A:$AL,20,FALSE)+VLOOKUP($A150,'Wikia | Gehege'!$A:$AL,26,FALSE)*($I150)-1*$I150),0)</f>
        <v>0</v>
      </c>
      <c r="N150" s="35">
        <f>IFERROR(IF(VLOOKUP($A150,'Wikia | Gehege'!$A:$AL,27,FALSE)=1,VLOOKUP($A150,'Wikia | Gehege'!$A:$AL,17,FALSE),VLOOKUP($A150,'Wikia | Gehege'!$A:$AL,17,FALSE)+VLOOKUP($A150,'Wikia | Gehege'!$A:$AL,27,FALSE)*($F150)-1*$F150),0)</f>
        <v>1030</v>
      </c>
      <c r="O150" s="36">
        <f>IFERROR(IF(VLOOKUP($A150,'Wikia | Gehege'!$A:$AL,27,FALSE)=1,VLOOKUP($A150,'Wikia | Gehege'!$A:$AL,18,FALSE),VLOOKUP($A150,'Wikia | Gehege'!$A:$AL,18,FALSE)+VLOOKUP($A150,'Wikia | Gehege'!$A:$AL,27,FALSE)*($G150)-1*$G150),0)</f>
        <v>140</v>
      </c>
      <c r="P150" s="36">
        <f>IFERROR(IF(VLOOKUP($A150,'Wikia | Gehege'!$A:$AL,27,FALSE)=1,VLOOKUP($A150,'Wikia | Gehege'!$A:$AL,19,FALSE),VLOOKUP($A150,'Wikia | Gehege'!$A:$AL,19,FALSE)+VLOOKUP($A150,'Wikia | Gehege'!$A:$AL,27,FALSE)*($H150)-1*$H150),0)</f>
        <v>0</v>
      </c>
      <c r="Q150" s="37">
        <f>IFERROR(IF(VLOOKUP($A150,'Wikia | Gehege'!$A:$AL,27,FALSE)=1,VLOOKUP($A150,'Wikia | Gehege'!$A:$AL,20,FALSE),VLOOKUP($A150,'Wikia | Gehege'!$A:$AL,20,FALSE)+VLOOKUP($A150,'Wikia | Gehege'!$A:$AL,27,FALSE)*($I150)-1*$I150),0)</f>
        <v>0</v>
      </c>
      <c r="R150" s="87"/>
      <c r="S150" s="94"/>
      <c r="T150" s="38">
        <f>IFERROR(VLOOKUP($A150,'Wikia | Gehege'!$A:$AL,17,FALSE)+(($S150-1)*$F150),0)</f>
        <v>730</v>
      </c>
      <c r="U150" s="38">
        <f>IFERROR(VLOOKUP($A150,'Wikia | Gehege'!$A:$AL,18,FALSE)+(($S150-1)*$G150),0)</f>
        <v>20</v>
      </c>
      <c r="V150" s="38">
        <f>IFERROR(VLOOKUP($A150,'Wikia | Gehege'!$A:$AL,19,FALSE)+(($S150-1)*$H150),0)</f>
        <v>0</v>
      </c>
      <c r="W150" s="85">
        <f>IFERROR(VLOOKUP($A150,'Wikia | Gehege'!$A:$AL,20,FALSE)+(($S150-1)*$I150),0)</f>
        <v>0</v>
      </c>
      <c r="X150" s="87"/>
    </row>
    <row r="151" spans="1:24" ht="35.1" customHeight="1" x14ac:dyDescent="0.2">
      <c r="A151" s="140" t="str">
        <f>'Wikia | Gehege'!A151</f>
        <v xml:space="preserve">Westlicher Schimpanse </v>
      </c>
      <c r="B151" s="35">
        <v>830</v>
      </c>
      <c r="C151" s="36">
        <v>110</v>
      </c>
      <c r="D151" s="36">
        <v>0</v>
      </c>
      <c r="E151" s="37">
        <v>0</v>
      </c>
      <c r="F151" s="35">
        <f>IFERROR(B151-VLOOKUP($A151,'Wikia | Gehege'!$A:$AL,17,FALSE),0)</f>
        <v>50</v>
      </c>
      <c r="G151" s="36">
        <f>IFERROR(C151-VLOOKUP($A151,'Wikia | Gehege'!$A:$AL,18,FALSE),0)</f>
        <v>30</v>
      </c>
      <c r="H151" s="36">
        <f>IFERROR(D151-VLOOKUP($A151,'Wikia | Gehege'!$A:$AL,19,FALSE),0)</f>
        <v>0</v>
      </c>
      <c r="I151" s="37">
        <f>IFERROR(E151-VLOOKUP($A151,'Wikia | Gehege'!$A:$AL,20,FALSE),0)</f>
        <v>0</v>
      </c>
      <c r="J151" s="35">
        <f>IFERROR(IF(VLOOKUP($A151,'Wikia | Gehege'!$A:$AL,26,FALSE)=1,VLOOKUP($A151,'Wikia | Gehege'!$A:$AL,17,FALSE),VLOOKUP($A151,'Wikia | Gehege'!$A:$AL,17,FALSE)+VLOOKUP($A151,'Wikia | Gehege'!$A:$AL,26,FALSE)*($F151)-1*$F151),0)</f>
        <v>980</v>
      </c>
      <c r="K151" s="36">
        <f>IFERROR(IF(VLOOKUP($A151,'Wikia | Gehege'!$A:$AL,26,FALSE)=1,VLOOKUP($A151,'Wikia | Gehege'!$A:$AL,18,FALSE),VLOOKUP($A151,'Wikia | Gehege'!$A:$AL,18,FALSE)+VLOOKUP($A151,'Wikia | Gehege'!$A:$AL,26,FALSE)*($G151)-1*$G151),0)</f>
        <v>200</v>
      </c>
      <c r="L151" s="36">
        <f>IFERROR(IF(VLOOKUP($A151,'Wikia | Gehege'!$A:$AL,26,FALSE)=1,VLOOKUP($A151,'Wikia | Gehege'!$A:$AL,19,FALSE),VLOOKUP($A151,'Wikia | Gehege'!$A:$AL,19,FALSE)+VLOOKUP($A151,'Wikia | Gehege'!$A:$AL,26,FALSE)*($H151)-1*$H151),0)</f>
        <v>0</v>
      </c>
      <c r="M151" s="37">
        <f>IFERROR(IF(VLOOKUP($A151,'Wikia | Gehege'!$A:$AL,26,FALSE)=1,VLOOKUP($A151,'Wikia | Gehege'!$A:$AL,20,FALSE),VLOOKUP($A151,'Wikia | Gehege'!$A:$AL,20,FALSE)+VLOOKUP($A151,'Wikia | Gehege'!$A:$AL,26,FALSE)*($I151)-1*$I151),0)</f>
        <v>0</v>
      </c>
      <c r="N151" s="35">
        <f>IFERROR(IF(VLOOKUP($A151,'Wikia | Gehege'!$A:$AL,27,FALSE)=1,VLOOKUP($A151,'Wikia | Gehege'!$A:$AL,17,FALSE),VLOOKUP($A151,'Wikia | Gehege'!$A:$AL,17,FALSE)+VLOOKUP($A151,'Wikia | Gehege'!$A:$AL,27,FALSE)*($F151)-1*$F151),0)</f>
        <v>1480</v>
      </c>
      <c r="O151" s="36">
        <f>IFERROR(IF(VLOOKUP($A151,'Wikia | Gehege'!$A:$AL,27,FALSE)=1,VLOOKUP($A151,'Wikia | Gehege'!$A:$AL,18,FALSE),VLOOKUP($A151,'Wikia | Gehege'!$A:$AL,18,FALSE)+VLOOKUP($A151,'Wikia | Gehege'!$A:$AL,27,FALSE)*($G151)-1*$G151),0)</f>
        <v>500</v>
      </c>
      <c r="P151" s="36">
        <f>IFERROR(IF(VLOOKUP($A151,'Wikia | Gehege'!$A:$AL,27,FALSE)=1,VLOOKUP($A151,'Wikia | Gehege'!$A:$AL,19,FALSE),VLOOKUP($A151,'Wikia | Gehege'!$A:$AL,19,FALSE)+VLOOKUP($A151,'Wikia | Gehege'!$A:$AL,27,FALSE)*($H151)-1*$H151),0)</f>
        <v>0</v>
      </c>
      <c r="Q151" s="37">
        <f>IFERROR(IF(VLOOKUP($A151,'Wikia | Gehege'!$A:$AL,27,FALSE)=1,VLOOKUP($A151,'Wikia | Gehege'!$A:$AL,20,FALSE),VLOOKUP($A151,'Wikia | Gehege'!$A:$AL,20,FALSE)+VLOOKUP($A151,'Wikia | Gehege'!$A:$AL,27,FALSE)*($I151)-1*$I151),0)</f>
        <v>0</v>
      </c>
      <c r="R151" s="87"/>
      <c r="S151" s="94"/>
      <c r="T151" s="38">
        <f>IFERROR(VLOOKUP($A151,'Wikia | Gehege'!$A:$AL,17,FALSE)+(($S151-1)*$F151),0)</f>
        <v>730</v>
      </c>
      <c r="U151" s="38">
        <f>IFERROR(VLOOKUP($A151,'Wikia | Gehege'!$A:$AL,18,FALSE)+(($S151-1)*$G151),0)</f>
        <v>50</v>
      </c>
      <c r="V151" s="38">
        <f>IFERROR(VLOOKUP($A151,'Wikia | Gehege'!$A:$AL,19,FALSE)+(($S151-1)*$H151),0)</f>
        <v>0</v>
      </c>
      <c r="W151" s="85">
        <f>IFERROR(VLOOKUP($A151,'Wikia | Gehege'!$A:$AL,20,FALSE)+(($S151-1)*$I151),0)</f>
        <v>0</v>
      </c>
      <c r="X151" s="87"/>
    </row>
    <row r="152" spans="1:24" ht="35.1" customHeight="1" x14ac:dyDescent="0.2">
      <c r="A152" s="140" t="str">
        <f>'Wikia | Gehege'!A152</f>
        <v>Wilder Wasserbüffel</v>
      </c>
      <c r="B152" s="35">
        <v>650</v>
      </c>
      <c r="C152" s="36">
        <v>0</v>
      </c>
      <c r="D152" s="36">
        <v>30</v>
      </c>
      <c r="E152" s="37">
        <v>0</v>
      </c>
      <c r="F152" s="35">
        <f>IFERROR(B152-VLOOKUP($A152,'Wikia | Gehege'!$A:$AL,17,FALSE),0)</f>
        <v>80</v>
      </c>
      <c r="G152" s="36">
        <f>IFERROR(C152-VLOOKUP($A152,'Wikia | Gehege'!$A:$AL,18,FALSE),0)</f>
        <v>0</v>
      </c>
      <c r="H152" s="36">
        <f>IFERROR(D152-VLOOKUP($A152,'Wikia | Gehege'!$A:$AL,19,FALSE),0)</f>
        <v>10</v>
      </c>
      <c r="I152" s="37">
        <f>IFERROR(E152-VLOOKUP($A152,'Wikia | Gehege'!$A:$AL,20,FALSE),0)</f>
        <v>0</v>
      </c>
      <c r="J152" s="35">
        <f>IFERROR(IF(VLOOKUP($A152,'Wikia | Gehege'!$A:$AL,26,FALSE)=1,VLOOKUP($A152,'Wikia | Gehege'!$A:$AL,17,FALSE),VLOOKUP($A152,'Wikia | Gehege'!$A:$AL,17,FALSE)+VLOOKUP($A152,'Wikia | Gehege'!$A:$AL,26,FALSE)*($F152)-1*$F152),0)</f>
        <v>730</v>
      </c>
      <c r="K152" s="36">
        <f>IFERROR(IF(VLOOKUP($A152,'Wikia | Gehege'!$A:$AL,26,FALSE)=1,VLOOKUP($A152,'Wikia | Gehege'!$A:$AL,18,FALSE),VLOOKUP($A152,'Wikia | Gehege'!$A:$AL,18,FALSE)+VLOOKUP($A152,'Wikia | Gehege'!$A:$AL,26,FALSE)*($G152)-1*$G152),0)</f>
        <v>0</v>
      </c>
      <c r="L152" s="36">
        <f>IFERROR(IF(VLOOKUP($A152,'Wikia | Gehege'!$A:$AL,26,FALSE)=1,VLOOKUP($A152,'Wikia | Gehege'!$A:$AL,19,FALSE),VLOOKUP($A152,'Wikia | Gehege'!$A:$AL,19,FALSE)+VLOOKUP($A152,'Wikia | Gehege'!$A:$AL,26,FALSE)*($H152)-1*$H152),0)</f>
        <v>40</v>
      </c>
      <c r="M152" s="37">
        <f>IFERROR(IF(VLOOKUP($A152,'Wikia | Gehege'!$A:$AL,26,FALSE)=1,VLOOKUP($A152,'Wikia | Gehege'!$A:$AL,20,FALSE),VLOOKUP($A152,'Wikia | Gehege'!$A:$AL,20,FALSE)+VLOOKUP($A152,'Wikia | Gehege'!$A:$AL,26,FALSE)*($I152)-1*$I152),0)</f>
        <v>0</v>
      </c>
      <c r="N152" s="35">
        <f>IFERROR(IF(VLOOKUP($A152,'Wikia | Gehege'!$A:$AL,27,FALSE)=1,VLOOKUP($A152,'Wikia | Gehege'!$A:$AL,17,FALSE),VLOOKUP($A152,'Wikia | Gehege'!$A:$AL,17,FALSE)+VLOOKUP($A152,'Wikia | Gehege'!$A:$AL,27,FALSE)*($F152)-1*$F152),0)</f>
        <v>2890</v>
      </c>
      <c r="O152" s="36">
        <f>IFERROR(IF(VLOOKUP($A152,'Wikia | Gehege'!$A:$AL,27,FALSE)=1,VLOOKUP($A152,'Wikia | Gehege'!$A:$AL,18,FALSE),VLOOKUP($A152,'Wikia | Gehege'!$A:$AL,18,FALSE)+VLOOKUP($A152,'Wikia | Gehege'!$A:$AL,27,FALSE)*($G152)-1*$G152),0)</f>
        <v>0</v>
      </c>
      <c r="P152" s="36">
        <f>IFERROR(IF(VLOOKUP($A152,'Wikia | Gehege'!$A:$AL,27,FALSE)=1,VLOOKUP($A152,'Wikia | Gehege'!$A:$AL,19,FALSE),VLOOKUP($A152,'Wikia | Gehege'!$A:$AL,19,FALSE)+VLOOKUP($A152,'Wikia | Gehege'!$A:$AL,27,FALSE)*($H152)-1*$H152),0)</f>
        <v>310</v>
      </c>
      <c r="Q152" s="37">
        <f>IFERROR(IF(VLOOKUP($A152,'Wikia | Gehege'!$A:$AL,27,FALSE)=1,VLOOKUP($A152,'Wikia | Gehege'!$A:$AL,20,FALSE),VLOOKUP($A152,'Wikia | Gehege'!$A:$AL,20,FALSE)+VLOOKUP($A152,'Wikia | Gehege'!$A:$AL,27,FALSE)*($I152)-1*$I152),0)</f>
        <v>0</v>
      </c>
      <c r="R152" s="87"/>
      <c r="S152" s="94"/>
      <c r="T152" s="38">
        <f>IFERROR(VLOOKUP($A152,'Wikia | Gehege'!$A:$AL,17,FALSE)+(($S152-1)*$F152),0)</f>
        <v>490</v>
      </c>
      <c r="U152" s="38">
        <f>IFERROR(VLOOKUP($A152,'Wikia | Gehege'!$A:$AL,18,FALSE)+(($S152-1)*$G152),0)</f>
        <v>0</v>
      </c>
      <c r="V152" s="38">
        <f>IFERROR(VLOOKUP($A152,'Wikia | Gehege'!$A:$AL,19,FALSE)+(($S152-1)*$H152),0)</f>
        <v>10</v>
      </c>
      <c r="W152" s="85">
        <f>IFERROR(VLOOKUP($A152,'Wikia | Gehege'!$A:$AL,20,FALSE)+(($S152-1)*$I152),0)</f>
        <v>0</v>
      </c>
      <c r="X152" s="87"/>
    </row>
    <row r="153" spans="1:24" ht="35.1" customHeight="1" x14ac:dyDescent="0.2">
      <c r="A153" s="140" t="str">
        <f>'Wikia | Gehege'!A153</f>
        <v>Wildschwein</v>
      </c>
      <c r="B153" s="35">
        <v>325</v>
      </c>
      <c r="C153" s="36">
        <v>0</v>
      </c>
      <c r="D153" s="36">
        <v>0</v>
      </c>
      <c r="E153" s="37">
        <v>0</v>
      </c>
      <c r="F153" s="35">
        <f>IFERROR(B153-VLOOKUP($A153,'Wikia | Gehege'!$A:$AL,17,FALSE),0)</f>
        <v>15</v>
      </c>
      <c r="G153" s="36">
        <f>IFERROR(C153-VLOOKUP($A153,'Wikia | Gehege'!$A:$AL,18,FALSE),0)</f>
        <v>0</v>
      </c>
      <c r="H153" s="36">
        <f>IFERROR(D153-VLOOKUP($A153,'Wikia | Gehege'!$A:$AL,19,FALSE),0)</f>
        <v>0</v>
      </c>
      <c r="I153" s="37">
        <f>IFERROR(E153-VLOOKUP($A153,'Wikia | Gehege'!$A:$AL,20,FALSE),0)</f>
        <v>0</v>
      </c>
      <c r="J153" s="35">
        <f>IFERROR(IF(VLOOKUP($A153,'Wikia | Gehege'!$A:$AL,26,FALSE)=1,VLOOKUP($A153,'Wikia | Gehege'!$A:$AL,17,FALSE),VLOOKUP($A153,'Wikia | Gehege'!$A:$AL,17,FALSE)+VLOOKUP($A153,'Wikia | Gehege'!$A:$AL,26,FALSE)*($F153)-1*$F153),0)</f>
        <v>340</v>
      </c>
      <c r="K153" s="36">
        <f>IFERROR(IF(VLOOKUP($A153,'Wikia | Gehege'!$A:$AL,26,FALSE)=1,VLOOKUP($A153,'Wikia | Gehege'!$A:$AL,18,FALSE),VLOOKUP($A153,'Wikia | Gehege'!$A:$AL,18,FALSE)+VLOOKUP($A153,'Wikia | Gehege'!$A:$AL,26,FALSE)*($G153)-1*$G153),0)</f>
        <v>0</v>
      </c>
      <c r="L153" s="36">
        <f>IFERROR(IF(VLOOKUP($A153,'Wikia | Gehege'!$A:$AL,26,FALSE)=1,VLOOKUP($A153,'Wikia | Gehege'!$A:$AL,19,FALSE),VLOOKUP($A153,'Wikia | Gehege'!$A:$AL,19,FALSE)+VLOOKUP($A153,'Wikia | Gehege'!$A:$AL,26,FALSE)*($H153)-1*$H153),0)</f>
        <v>0</v>
      </c>
      <c r="M153" s="37">
        <f>IFERROR(IF(VLOOKUP($A153,'Wikia | Gehege'!$A:$AL,26,FALSE)=1,VLOOKUP($A153,'Wikia | Gehege'!$A:$AL,20,FALSE),VLOOKUP($A153,'Wikia | Gehege'!$A:$AL,20,FALSE)+VLOOKUP($A153,'Wikia | Gehege'!$A:$AL,26,FALSE)*($I153)-1*$I153),0)</f>
        <v>0</v>
      </c>
      <c r="N153" s="35">
        <f>IFERROR(IF(VLOOKUP($A153,'Wikia | Gehege'!$A:$AL,27,FALSE)=1,VLOOKUP($A153,'Wikia | Gehege'!$A:$AL,17,FALSE),VLOOKUP($A153,'Wikia | Gehege'!$A:$AL,17,FALSE)+VLOOKUP($A153,'Wikia | Gehege'!$A:$AL,27,FALSE)*($F153)-1*$F153),0)</f>
        <v>745</v>
      </c>
      <c r="O153" s="36">
        <f>IFERROR(IF(VLOOKUP($A153,'Wikia | Gehege'!$A:$AL,27,FALSE)=1,VLOOKUP($A153,'Wikia | Gehege'!$A:$AL,18,FALSE),VLOOKUP($A153,'Wikia | Gehege'!$A:$AL,18,FALSE)+VLOOKUP($A153,'Wikia | Gehege'!$A:$AL,27,FALSE)*($G153)-1*$G153),0)</f>
        <v>0</v>
      </c>
      <c r="P153" s="36">
        <f>IFERROR(IF(VLOOKUP($A153,'Wikia | Gehege'!$A:$AL,27,FALSE)=1,VLOOKUP($A153,'Wikia | Gehege'!$A:$AL,19,FALSE),VLOOKUP($A153,'Wikia | Gehege'!$A:$AL,19,FALSE)+VLOOKUP($A153,'Wikia | Gehege'!$A:$AL,27,FALSE)*($H153)-1*$H153),0)</f>
        <v>0</v>
      </c>
      <c r="Q153" s="37">
        <f>IFERROR(IF(VLOOKUP($A153,'Wikia | Gehege'!$A:$AL,27,FALSE)=1,VLOOKUP($A153,'Wikia | Gehege'!$A:$AL,20,FALSE),VLOOKUP($A153,'Wikia | Gehege'!$A:$AL,20,FALSE)+VLOOKUP($A153,'Wikia | Gehege'!$A:$AL,27,FALSE)*($I153)-1*$I153),0)</f>
        <v>0</v>
      </c>
      <c r="R153" s="87"/>
      <c r="S153" s="94"/>
      <c r="T153" s="38">
        <f>IFERROR(VLOOKUP($A153,'Wikia | Gehege'!$A:$AL,17,FALSE)+(($S153-1)*$F153),0)</f>
        <v>295</v>
      </c>
      <c r="U153" s="38">
        <f>IFERROR(VLOOKUP($A153,'Wikia | Gehege'!$A:$AL,18,FALSE)+(($S153-1)*$G153),0)</f>
        <v>0</v>
      </c>
      <c r="V153" s="38">
        <f>IFERROR(VLOOKUP($A153,'Wikia | Gehege'!$A:$AL,19,FALSE)+(($S153-1)*$H153),0)</f>
        <v>0</v>
      </c>
      <c r="W153" s="85">
        <f>IFERROR(VLOOKUP($A153,'Wikia | Gehege'!$A:$AL,20,FALSE)+(($S153-1)*$I153),0)</f>
        <v>0</v>
      </c>
      <c r="X153" s="87"/>
    </row>
    <row r="154" spans="1:24" ht="35.1" customHeight="1" x14ac:dyDescent="0.2">
      <c r="A154" s="140" t="str">
        <f>'Wikia | Gehege'!A154</f>
        <v>Wisent</v>
      </c>
      <c r="B154" s="35">
        <v>525</v>
      </c>
      <c r="C154" s="36">
        <v>0</v>
      </c>
      <c r="D154" s="36">
        <v>0</v>
      </c>
      <c r="E154" s="37">
        <v>0</v>
      </c>
      <c r="F154" s="35">
        <f>IFERROR(B154-VLOOKUP($A154,'Wikia | Gehege'!$A:$AL,17,FALSE),0)</f>
        <v>105</v>
      </c>
      <c r="G154" s="36">
        <f>IFERROR(C154-VLOOKUP($A154,'Wikia | Gehege'!$A:$AL,18,FALSE),0)</f>
        <v>0</v>
      </c>
      <c r="H154" s="36">
        <f>IFERROR(D154-VLOOKUP($A154,'Wikia | Gehege'!$A:$AL,19,FALSE),0)</f>
        <v>0</v>
      </c>
      <c r="I154" s="37">
        <f>IFERROR(E154-VLOOKUP($A154,'Wikia | Gehege'!$A:$AL,20,FALSE),0)</f>
        <v>0</v>
      </c>
      <c r="J154" s="35">
        <f>IFERROR(IF(VLOOKUP($A154,'Wikia | Gehege'!$A:$AL,26,FALSE)=1,VLOOKUP($A154,'Wikia | Gehege'!$A:$AL,17,FALSE),VLOOKUP($A154,'Wikia | Gehege'!$A:$AL,17,FALSE)+VLOOKUP($A154,'Wikia | Gehege'!$A:$AL,26,FALSE)*($F154)-1*$F154),0)</f>
        <v>525</v>
      </c>
      <c r="K154" s="36">
        <f>IFERROR(IF(VLOOKUP($A154,'Wikia | Gehege'!$A:$AL,26,FALSE)=1,VLOOKUP($A154,'Wikia | Gehege'!$A:$AL,18,FALSE),VLOOKUP($A154,'Wikia | Gehege'!$A:$AL,18,FALSE)+VLOOKUP($A154,'Wikia | Gehege'!$A:$AL,26,FALSE)*($G154)-1*$G154),0)</f>
        <v>0</v>
      </c>
      <c r="L154" s="36">
        <f>IFERROR(IF(VLOOKUP($A154,'Wikia | Gehege'!$A:$AL,26,FALSE)=1,VLOOKUP($A154,'Wikia | Gehege'!$A:$AL,19,FALSE),VLOOKUP($A154,'Wikia | Gehege'!$A:$AL,19,FALSE)+VLOOKUP($A154,'Wikia | Gehege'!$A:$AL,26,FALSE)*($H154)-1*$H154),0)</f>
        <v>0</v>
      </c>
      <c r="M154" s="37">
        <f>IFERROR(IF(VLOOKUP($A154,'Wikia | Gehege'!$A:$AL,26,FALSE)=1,VLOOKUP($A154,'Wikia | Gehege'!$A:$AL,20,FALSE),VLOOKUP($A154,'Wikia | Gehege'!$A:$AL,20,FALSE)+VLOOKUP($A154,'Wikia | Gehege'!$A:$AL,26,FALSE)*($I154)-1*$I154),0)</f>
        <v>0</v>
      </c>
      <c r="N154" s="35">
        <f>IFERROR(IF(VLOOKUP($A154,'Wikia | Gehege'!$A:$AL,27,FALSE)=1,VLOOKUP($A154,'Wikia | Gehege'!$A:$AL,17,FALSE),VLOOKUP($A154,'Wikia | Gehege'!$A:$AL,17,FALSE)+VLOOKUP($A154,'Wikia | Gehege'!$A:$AL,27,FALSE)*($F154)-1*$F154),0)</f>
        <v>1680</v>
      </c>
      <c r="O154" s="36">
        <f>IFERROR(IF(VLOOKUP($A154,'Wikia | Gehege'!$A:$AL,27,FALSE)=1,VLOOKUP($A154,'Wikia | Gehege'!$A:$AL,18,FALSE),VLOOKUP($A154,'Wikia | Gehege'!$A:$AL,18,FALSE)+VLOOKUP($A154,'Wikia | Gehege'!$A:$AL,27,FALSE)*($G154)-1*$G154),0)</f>
        <v>0</v>
      </c>
      <c r="P154" s="36">
        <f>IFERROR(IF(VLOOKUP($A154,'Wikia | Gehege'!$A:$AL,27,FALSE)=1,VLOOKUP($A154,'Wikia | Gehege'!$A:$AL,19,FALSE),VLOOKUP($A154,'Wikia | Gehege'!$A:$AL,19,FALSE)+VLOOKUP($A154,'Wikia | Gehege'!$A:$AL,27,FALSE)*($H154)-1*$H154),0)</f>
        <v>0</v>
      </c>
      <c r="Q154" s="37">
        <f>IFERROR(IF(VLOOKUP($A154,'Wikia | Gehege'!$A:$AL,27,FALSE)=1,VLOOKUP($A154,'Wikia | Gehege'!$A:$AL,20,FALSE),VLOOKUP($A154,'Wikia | Gehege'!$A:$AL,20,FALSE)+VLOOKUP($A154,'Wikia | Gehege'!$A:$AL,27,FALSE)*($I154)-1*$I154),0)</f>
        <v>0</v>
      </c>
      <c r="R154" s="87"/>
      <c r="S154" s="94"/>
      <c r="T154" s="38">
        <f>IFERROR(VLOOKUP($A154,'Wikia | Gehege'!$A:$AL,17,FALSE)+(($S154-1)*$F154),0)</f>
        <v>315</v>
      </c>
      <c r="U154" s="38">
        <f>IFERROR(VLOOKUP($A154,'Wikia | Gehege'!$A:$AL,18,FALSE)+(($S154-1)*$G154),0)</f>
        <v>0</v>
      </c>
      <c r="V154" s="38">
        <f>IFERROR(VLOOKUP($A154,'Wikia | Gehege'!$A:$AL,19,FALSE)+(($S154-1)*$H154),0)</f>
        <v>0</v>
      </c>
      <c r="W154" s="85">
        <f>IFERROR(VLOOKUP($A154,'Wikia | Gehege'!$A:$AL,20,FALSE)+(($S154-1)*$I154),0)</f>
        <v>0</v>
      </c>
      <c r="X154" s="87"/>
    </row>
    <row r="155" spans="1:24" ht="35.1" customHeight="1" x14ac:dyDescent="0.2">
      <c r="A155" s="140" t="str">
        <f>'Wikia | Gehege'!A155</f>
        <v>Zwergflusspferd</v>
      </c>
      <c r="B155" s="35">
        <v>300</v>
      </c>
      <c r="C155" s="36">
        <v>0</v>
      </c>
      <c r="D155" s="36">
        <v>300</v>
      </c>
      <c r="E155" s="37">
        <v>0</v>
      </c>
      <c r="F155" s="35">
        <f>IFERROR(B155-VLOOKUP($A155,'Wikia | Gehege'!$A:$AL,17,FALSE),0)</f>
        <v>30</v>
      </c>
      <c r="G155" s="36">
        <f>IFERROR(C155-VLOOKUP($A155,'Wikia | Gehege'!$A:$AL,18,FALSE),0)</f>
        <v>0</v>
      </c>
      <c r="H155" s="36">
        <f>IFERROR(D155-VLOOKUP($A155,'Wikia | Gehege'!$A:$AL,19,FALSE),0)</f>
        <v>30</v>
      </c>
      <c r="I155" s="37">
        <f>IFERROR(E155-VLOOKUP($A155,'Wikia | Gehege'!$A:$AL,20,FALSE),0)</f>
        <v>0</v>
      </c>
      <c r="J155" s="35">
        <f>IFERROR(IF(VLOOKUP($A155,'Wikia | Gehege'!$A:$AL,26,FALSE)=1,VLOOKUP($A155,'Wikia | Gehege'!$A:$AL,17,FALSE),VLOOKUP($A155,'Wikia | Gehege'!$A:$AL,17,FALSE)+VLOOKUP($A155,'Wikia | Gehege'!$A:$AL,26,FALSE)*($F155)-1*$F155),0)</f>
        <v>300</v>
      </c>
      <c r="K155" s="36">
        <f>IFERROR(IF(VLOOKUP($A155,'Wikia | Gehege'!$A:$AL,26,FALSE)=1,VLOOKUP($A155,'Wikia | Gehege'!$A:$AL,18,FALSE),VLOOKUP($A155,'Wikia | Gehege'!$A:$AL,18,FALSE)+VLOOKUP($A155,'Wikia | Gehege'!$A:$AL,26,FALSE)*($G155)-1*$G155),0)</f>
        <v>0</v>
      </c>
      <c r="L155" s="36">
        <f>IFERROR(IF(VLOOKUP($A155,'Wikia | Gehege'!$A:$AL,26,FALSE)=1,VLOOKUP($A155,'Wikia | Gehege'!$A:$AL,19,FALSE),VLOOKUP($A155,'Wikia | Gehege'!$A:$AL,19,FALSE)+VLOOKUP($A155,'Wikia | Gehege'!$A:$AL,26,FALSE)*($H155)-1*$H155),0)</f>
        <v>300</v>
      </c>
      <c r="M155" s="37">
        <f>IFERROR(IF(VLOOKUP($A155,'Wikia | Gehege'!$A:$AL,26,FALSE)=1,VLOOKUP($A155,'Wikia | Gehege'!$A:$AL,20,FALSE),VLOOKUP($A155,'Wikia | Gehege'!$A:$AL,20,FALSE)+VLOOKUP($A155,'Wikia | Gehege'!$A:$AL,26,FALSE)*($I155)-1*$I155),0)</f>
        <v>0</v>
      </c>
      <c r="N155" s="35">
        <f>IFERROR(IF(VLOOKUP($A155,'Wikia | Gehege'!$A:$AL,27,FALSE)=1,VLOOKUP($A155,'Wikia | Gehege'!$A:$AL,17,FALSE),VLOOKUP($A155,'Wikia | Gehege'!$A:$AL,17,FALSE)+VLOOKUP($A155,'Wikia | Gehege'!$A:$AL,27,FALSE)*($F155)-1*$F155),0)</f>
        <v>360</v>
      </c>
      <c r="O155" s="36">
        <f>IFERROR(IF(VLOOKUP($A155,'Wikia | Gehege'!$A:$AL,27,FALSE)=1,VLOOKUP($A155,'Wikia | Gehege'!$A:$AL,18,FALSE),VLOOKUP($A155,'Wikia | Gehege'!$A:$AL,18,FALSE)+VLOOKUP($A155,'Wikia | Gehege'!$A:$AL,27,FALSE)*($G155)-1*$G155),0)</f>
        <v>0</v>
      </c>
      <c r="P155" s="36">
        <f>IFERROR(IF(VLOOKUP($A155,'Wikia | Gehege'!$A:$AL,27,FALSE)=1,VLOOKUP($A155,'Wikia | Gehege'!$A:$AL,19,FALSE),VLOOKUP($A155,'Wikia | Gehege'!$A:$AL,19,FALSE)+VLOOKUP($A155,'Wikia | Gehege'!$A:$AL,27,FALSE)*($H155)-1*$H155),0)</f>
        <v>360</v>
      </c>
      <c r="Q155" s="37">
        <f>IFERROR(IF(VLOOKUP($A155,'Wikia | Gehege'!$A:$AL,27,FALSE)=1,VLOOKUP($A155,'Wikia | Gehege'!$A:$AL,20,FALSE),VLOOKUP($A155,'Wikia | Gehege'!$A:$AL,20,FALSE)+VLOOKUP($A155,'Wikia | Gehege'!$A:$AL,27,FALSE)*($I155)-1*$I155),0)</f>
        <v>0</v>
      </c>
      <c r="R155" s="87"/>
      <c r="S155" s="94"/>
      <c r="T155" s="38">
        <f>IFERROR(VLOOKUP($A155,'Wikia | Gehege'!$A:$AL,17,FALSE)+(($S155-1)*$F155),0)</f>
        <v>240</v>
      </c>
      <c r="U155" s="38">
        <f>IFERROR(VLOOKUP($A155,'Wikia | Gehege'!$A:$AL,18,FALSE)+(($S155-1)*$G155),0)</f>
        <v>0</v>
      </c>
      <c r="V155" s="38">
        <f>IFERROR(VLOOKUP($A155,'Wikia | Gehege'!$A:$AL,19,FALSE)+(($S155-1)*$H155),0)</f>
        <v>240</v>
      </c>
      <c r="W155" s="85">
        <f>IFERROR(VLOOKUP($A155,'Wikia | Gehege'!$A:$AL,20,FALSE)+(($S155-1)*$I155),0)</f>
        <v>0</v>
      </c>
      <c r="X155" s="87"/>
    </row>
    <row r="156" spans="1:24" ht="35.1" customHeight="1" x14ac:dyDescent="0.2">
      <c r="A156" s="140" t="str">
        <f>'Wikia | Gehege'!A156</f>
        <v>Zwergotter</v>
      </c>
      <c r="B156" s="35">
        <v>240</v>
      </c>
      <c r="C156" s="36">
        <v>0</v>
      </c>
      <c r="D156" s="36">
        <v>96</v>
      </c>
      <c r="E156" s="37">
        <v>64</v>
      </c>
      <c r="F156" s="35">
        <f>IFERROR(B156-VLOOKUP($A156,'Wikia | Gehege'!$A:$AL,17,FALSE),0)</f>
        <v>30</v>
      </c>
      <c r="G156" s="36">
        <f>IFERROR(C156-VLOOKUP($A156,'Wikia | Gehege'!$A:$AL,18,FALSE),0)</f>
        <v>0</v>
      </c>
      <c r="H156" s="36">
        <f>IFERROR(D156-VLOOKUP($A156,'Wikia | Gehege'!$A:$AL,19,FALSE),0)</f>
        <v>12</v>
      </c>
      <c r="I156" s="37">
        <f>IFERROR(E156-VLOOKUP($A156,'Wikia | Gehege'!$A:$AL,20,FALSE),0)</f>
        <v>8</v>
      </c>
      <c r="J156" s="35">
        <f>IFERROR(IF(VLOOKUP($A156,'Wikia | Gehege'!$A:$AL,26,FALSE)=1,VLOOKUP($A156,'Wikia | Gehege'!$A:$AL,17,FALSE),VLOOKUP($A156,'Wikia | Gehege'!$A:$AL,17,FALSE)+VLOOKUP($A156,'Wikia | Gehege'!$A:$AL,26,FALSE)*($F156)-1*$F156),0)</f>
        <v>240</v>
      </c>
      <c r="K156" s="36">
        <f>IFERROR(IF(VLOOKUP($A156,'Wikia | Gehege'!$A:$AL,26,FALSE)=1,VLOOKUP($A156,'Wikia | Gehege'!$A:$AL,18,FALSE),VLOOKUP($A156,'Wikia | Gehege'!$A:$AL,18,FALSE)+VLOOKUP($A156,'Wikia | Gehege'!$A:$AL,26,FALSE)*($G156)-1*$G156),0)</f>
        <v>0</v>
      </c>
      <c r="L156" s="36">
        <f>IFERROR(IF(VLOOKUP($A156,'Wikia | Gehege'!$A:$AL,26,FALSE)=1,VLOOKUP($A156,'Wikia | Gehege'!$A:$AL,19,FALSE),VLOOKUP($A156,'Wikia | Gehege'!$A:$AL,19,FALSE)+VLOOKUP($A156,'Wikia | Gehege'!$A:$AL,26,FALSE)*($H156)-1*$H156),0)</f>
        <v>96</v>
      </c>
      <c r="M156" s="37">
        <f>IFERROR(IF(VLOOKUP($A156,'Wikia | Gehege'!$A:$AL,26,FALSE)=1,VLOOKUP($A156,'Wikia | Gehege'!$A:$AL,20,FALSE),VLOOKUP($A156,'Wikia | Gehege'!$A:$AL,20,FALSE)+VLOOKUP($A156,'Wikia | Gehege'!$A:$AL,26,FALSE)*($I156)-1*$I156),0)</f>
        <v>64</v>
      </c>
      <c r="N156" s="35">
        <f>IFERROR(IF(VLOOKUP($A156,'Wikia | Gehege'!$A:$AL,27,FALSE)=1,VLOOKUP($A156,'Wikia | Gehege'!$A:$AL,17,FALSE),VLOOKUP($A156,'Wikia | Gehege'!$A:$AL,17,FALSE)+VLOOKUP($A156,'Wikia | Gehege'!$A:$AL,27,FALSE)*($F156)-1*$F156),0)</f>
        <v>660</v>
      </c>
      <c r="O156" s="36">
        <f>IFERROR(IF(VLOOKUP($A156,'Wikia | Gehege'!$A:$AL,27,FALSE)=1,VLOOKUP($A156,'Wikia | Gehege'!$A:$AL,18,FALSE),VLOOKUP($A156,'Wikia | Gehege'!$A:$AL,18,FALSE)+VLOOKUP($A156,'Wikia | Gehege'!$A:$AL,27,FALSE)*($G156)-1*$G156),0)</f>
        <v>0</v>
      </c>
      <c r="P156" s="36">
        <f>IFERROR(IF(VLOOKUP($A156,'Wikia | Gehege'!$A:$AL,27,FALSE)=1,VLOOKUP($A156,'Wikia | Gehege'!$A:$AL,19,FALSE),VLOOKUP($A156,'Wikia | Gehege'!$A:$AL,19,FALSE)+VLOOKUP($A156,'Wikia | Gehege'!$A:$AL,27,FALSE)*($H156)-1*$H156),0)</f>
        <v>264</v>
      </c>
      <c r="Q156" s="37">
        <f>IFERROR(IF(VLOOKUP($A156,'Wikia | Gehege'!$A:$AL,27,FALSE)=1,VLOOKUP($A156,'Wikia | Gehege'!$A:$AL,20,FALSE),VLOOKUP($A156,'Wikia | Gehege'!$A:$AL,20,FALSE)+VLOOKUP($A156,'Wikia | Gehege'!$A:$AL,27,FALSE)*($I156)-1*$I156),0)</f>
        <v>176</v>
      </c>
      <c r="R156" s="87"/>
      <c r="S156" s="94"/>
      <c r="T156" s="38">
        <f>IFERROR(VLOOKUP($A156,'Wikia | Gehege'!$A:$AL,17,FALSE)+(($S156-1)*$F156),0)</f>
        <v>180</v>
      </c>
      <c r="U156" s="38">
        <f>IFERROR(VLOOKUP($A156,'Wikia | Gehege'!$A:$AL,18,FALSE)+(($S156-1)*$G156),0)</f>
        <v>0</v>
      </c>
      <c r="V156" s="38">
        <f>IFERROR(VLOOKUP($A156,'Wikia | Gehege'!$A:$AL,19,FALSE)+(($S156-1)*$H156),0)</f>
        <v>72</v>
      </c>
      <c r="W156" s="85">
        <f>IFERROR(VLOOKUP($A156,'Wikia | Gehege'!$A:$AL,20,FALSE)+(($S156-1)*$I156),0)</f>
        <v>48</v>
      </c>
      <c r="X156" s="87"/>
    </row>
    <row r="157" spans="1:24" ht="35.1" customHeight="1" thickBot="1" x14ac:dyDescent="0.25">
      <c r="A157" s="140" t="str">
        <f>'Wikia | Gehege'!A157</f>
        <v>Zwergpinguin</v>
      </c>
      <c r="B157" s="88">
        <v>182</v>
      </c>
      <c r="C157" s="89">
        <v>0</v>
      </c>
      <c r="D157" s="89">
        <v>61</v>
      </c>
      <c r="E157" s="90">
        <v>36</v>
      </c>
      <c r="F157" s="88">
        <f>IFERROR(B157-VLOOKUP($A157,'Wikia | Gehege'!$A:$AL,17,FALSE),0)</f>
        <v>2</v>
      </c>
      <c r="G157" s="89">
        <f>IFERROR(C157-VLOOKUP($A157,'Wikia | Gehege'!$A:$AL,18,FALSE),0)</f>
        <v>0</v>
      </c>
      <c r="H157" s="89">
        <f>IFERROR(D157-VLOOKUP($A157,'Wikia | Gehege'!$A:$AL,19,FALSE),0)</f>
        <v>1</v>
      </c>
      <c r="I157" s="90">
        <f>IFERROR(E157-VLOOKUP($A157,'Wikia | Gehege'!$A:$AL,20,FALSE),0)</f>
        <v>1</v>
      </c>
      <c r="J157" s="88">
        <f>IFERROR(IF(VLOOKUP($A157,'Wikia | Gehege'!$A:$AL,26,FALSE)=1,VLOOKUP($A157,'Wikia | Gehege'!$A:$AL,17,FALSE),VLOOKUP($A157,'Wikia | Gehege'!$A:$AL,17,FALSE)+VLOOKUP($A157,'Wikia | Gehege'!$A:$AL,26,FALSE)*($F157)-1*$F157),0)</f>
        <v>190</v>
      </c>
      <c r="K157" s="89">
        <f>IFERROR(IF(VLOOKUP($A157,'Wikia | Gehege'!$A:$AL,26,FALSE)=1,VLOOKUP($A157,'Wikia | Gehege'!$A:$AL,18,FALSE),VLOOKUP($A157,'Wikia | Gehege'!$A:$AL,18,FALSE)+VLOOKUP($A157,'Wikia | Gehege'!$A:$AL,26,FALSE)*($G157)-1*$G157),0)</f>
        <v>0</v>
      </c>
      <c r="L157" s="89">
        <f>IFERROR(IF(VLOOKUP($A157,'Wikia | Gehege'!$A:$AL,26,FALSE)=1,VLOOKUP($A157,'Wikia | Gehege'!$A:$AL,19,FALSE),VLOOKUP($A157,'Wikia | Gehege'!$A:$AL,19,FALSE)+VLOOKUP($A157,'Wikia | Gehege'!$A:$AL,26,FALSE)*($H157)-1*$H157),0)</f>
        <v>65</v>
      </c>
      <c r="M157" s="90">
        <f>IFERROR(IF(VLOOKUP($A157,'Wikia | Gehege'!$A:$AL,26,FALSE)=1,VLOOKUP($A157,'Wikia | Gehege'!$A:$AL,20,FALSE),VLOOKUP($A157,'Wikia | Gehege'!$A:$AL,20,FALSE)+VLOOKUP($A157,'Wikia | Gehege'!$A:$AL,26,FALSE)*($I157)-1*$I157),0)</f>
        <v>40</v>
      </c>
      <c r="N157" s="88">
        <f>IFERROR(IF(VLOOKUP($A157,'Wikia | Gehege'!$A:$AL,27,FALSE)=1,VLOOKUP($A157,'Wikia | Gehege'!$A:$AL,17,FALSE),VLOOKUP($A157,'Wikia | Gehege'!$A:$AL,17,FALSE)+VLOOKUP($A157,'Wikia | Gehege'!$A:$AL,27,FALSE)*($F157)-1*$F157),0)</f>
        <v>1178</v>
      </c>
      <c r="O157" s="89">
        <f>IFERROR(IF(VLOOKUP($A157,'Wikia | Gehege'!$A:$AL,27,FALSE)=1,VLOOKUP($A157,'Wikia | Gehege'!$A:$AL,18,FALSE),VLOOKUP($A157,'Wikia | Gehege'!$A:$AL,18,FALSE)+VLOOKUP($A157,'Wikia | Gehege'!$A:$AL,27,FALSE)*($G157)-1*$G157),0)</f>
        <v>0</v>
      </c>
      <c r="P157" s="89">
        <f>IFERROR(IF(VLOOKUP($A157,'Wikia | Gehege'!$A:$AL,27,FALSE)=1,VLOOKUP($A157,'Wikia | Gehege'!$A:$AL,19,FALSE),VLOOKUP($A157,'Wikia | Gehege'!$A:$AL,19,FALSE)+VLOOKUP($A157,'Wikia | Gehege'!$A:$AL,27,FALSE)*($H157)-1*$H157),0)</f>
        <v>559</v>
      </c>
      <c r="Q157" s="90">
        <f>IFERROR(IF(VLOOKUP($A157,'Wikia | Gehege'!$A:$AL,27,FALSE)=1,VLOOKUP($A157,'Wikia | Gehege'!$A:$AL,20,FALSE),VLOOKUP($A157,'Wikia | Gehege'!$A:$AL,20,FALSE)+VLOOKUP($A157,'Wikia | Gehege'!$A:$AL,27,FALSE)*($I157)-1*$I157),0)</f>
        <v>534</v>
      </c>
      <c r="R157" s="91"/>
      <c r="S157" s="95"/>
      <c r="T157" s="92">
        <f>IFERROR(VLOOKUP($A157,'Wikia | Gehege'!$A:$AL,17,FALSE)+(($S157-1)*$F157),0)</f>
        <v>178</v>
      </c>
      <c r="U157" s="92">
        <f>IFERROR(VLOOKUP($A157,'Wikia | Gehege'!$A:$AL,18,FALSE)+(($S157-1)*$G157),0)</f>
        <v>0</v>
      </c>
      <c r="V157" s="92">
        <f>IFERROR(VLOOKUP($A157,'Wikia | Gehege'!$A:$AL,19,FALSE)+(($S157-1)*$H157),0)</f>
        <v>59</v>
      </c>
      <c r="W157" s="93">
        <f>IFERROR(VLOOKUP($A157,'Wikia | Gehege'!$A:$AL,20,FALSE)+(($S157-1)*$I157),0)</f>
        <v>34</v>
      </c>
      <c r="X157" s="91"/>
    </row>
    <row r="158" spans="1:24" ht="15.75" hidden="1" thickTop="1" x14ac:dyDescent="0.2"/>
  </sheetData>
  <sheetProtection sheet="1" selectLockedCells="1"/>
  <sortState xmlns:xlrd2="http://schemas.microsoft.com/office/spreadsheetml/2017/richdata2" ref="A5:W157">
    <sortCondition ref="A5:A157"/>
  </sortState>
  <mergeCells count="9">
    <mergeCell ref="A1:X1"/>
    <mergeCell ref="A2:A4"/>
    <mergeCell ref="F2:I3"/>
    <mergeCell ref="J2:M3"/>
    <mergeCell ref="N2:Q3"/>
    <mergeCell ref="S2:W3"/>
    <mergeCell ref="R2:R3"/>
    <mergeCell ref="X2:X3"/>
    <mergeCell ref="B2:E3"/>
  </mergeCells>
  <conditionalFormatting sqref="B5:Q157">
    <cfRule type="cellIs" dxfId="2" priority="1" operator="lessThan">
      <formula>0</formula>
    </cfRule>
    <cfRule type="expression" dxfId="1" priority="2">
      <formula>ISTFEHLER</formula>
    </cfRule>
    <cfRule type="cellIs" dxfId="0" priority="3" operator="equal">
      <formula>0</formula>
    </cfRule>
  </conditionalFormatting>
  <pageMargins left="0.7" right="0.7" top="0.78740157499999996" bottom="0.78740157499999996" header="0.3" footer="0.3"/>
  <pageSetup paperSize="9" scale="5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99B4-2DA5-495C-BAC7-5934A1C8EF8E}">
  <sheetPr>
    <tabColor rgb="FF1A1A1A"/>
    <pageSetUpPr fitToPage="1"/>
  </sheetPr>
  <dimension ref="A1:AL3"/>
  <sheetViews>
    <sheetView zoomScaleNormal="100" workbookViewId="0"/>
  </sheetViews>
  <sheetFormatPr baseColWidth="10" defaultColWidth="0" defaultRowHeight="90" customHeight="1" zeroHeight="1" x14ac:dyDescent="0.2"/>
  <cols>
    <col min="1" max="8" width="15.77734375" style="15" customWidth="1"/>
    <col min="9" max="15" width="11.77734375" style="15" hidden="1" customWidth="1"/>
    <col min="16" max="18" width="4.77734375" style="15" hidden="1" customWidth="1"/>
    <col min="19" max="23" width="8.77734375" style="15" hidden="1" customWidth="1"/>
    <col min="24" max="26" width="7.77734375" style="15" hidden="1" customWidth="1"/>
    <col min="27" max="27" width="10.77734375" style="15" hidden="1" customWidth="1"/>
    <col min="28" max="34" width="8.77734375" style="15" hidden="1" customWidth="1"/>
    <col min="35" max="35" width="12.77734375" style="15" hidden="1" customWidth="1"/>
    <col min="36" max="37" width="5.77734375" style="15" hidden="1" customWidth="1"/>
    <col min="38" max="38" width="0.88671875" style="15" hidden="1" customWidth="1"/>
    <col min="39" max="16384" width="11.5546875" style="15" hidden="1"/>
  </cols>
  <sheetData>
    <row r="1" spans="1:8" ht="90" customHeight="1" thickTop="1" thickBot="1" x14ac:dyDescent="0.25">
      <c r="A1" s="18" t="s">
        <v>147</v>
      </c>
      <c r="B1" s="19" t="s">
        <v>2</v>
      </c>
      <c r="C1" s="20" t="s">
        <v>0</v>
      </c>
      <c r="D1" s="21" t="s">
        <v>8</v>
      </c>
      <c r="E1" s="22" t="s">
        <v>17</v>
      </c>
      <c r="F1" s="23" t="s">
        <v>6</v>
      </c>
      <c r="G1" s="24" t="s">
        <v>12</v>
      </c>
      <c r="H1" s="25" t="s">
        <v>35</v>
      </c>
    </row>
    <row r="2" spans="1:8" ht="90" customHeight="1" thickTop="1" thickBot="1" x14ac:dyDescent="0.25">
      <c r="A2" s="26" t="s">
        <v>148</v>
      </c>
      <c r="B2" s="26" t="s">
        <v>149</v>
      </c>
      <c r="C2" s="26" t="s">
        <v>150</v>
      </c>
      <c r="D2" s="26" t="s">
        <v>151</v>
      </c>
      <c r="E2" s="26" t="s">
        <v>152</v>
      </c>
      <c r="F2" s="26" t="s">
        <v>153</v>
      </c>
      <c r="G2" s="26" t="s">
        <v>154</v>
      </c>
      <c r="H2" s="26" t="s">
        <v>155</v>
      </c>
    </row>
    <row r="3" spans="1:8" ht="90" hidden="1" customHeight="1" thickTop="1" x14ac:dyDescent="0.2"/>
  </sheetData>
  <pageMargins left="0.7" right="0.7" top="0.78740157499999996" bottom="0.78740157499999996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Wikia | Gehege</vt:lpstr>
      <vt:lpstr>Wikia | Vivarien</vt:lpstr>
      <vt:lpstr>Min|Max Anf. + Berechner</vt:lpstr>
      <vt:lpstr>Gefährdungslevel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Celine Steidinger</dc:creator>
  <cp:lastModifiedBy>Nina Celine Steidinger</cp:lastModifiedBy>
  <cp:lastPrinted>2021-04-02T23:42:10Z</cp:lastPrinted>
  <dcterms:created xsi:type="dcterms:W3CDTF">2021-03-30T20:53:34Z</dcterms:created>
  <dcterms:modified xsi:type="dcterms:W3CDTF">2025-04-01T15:48:31Z</dcterms:modified>
</cp:coreProperties>
</file>